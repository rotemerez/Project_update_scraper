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רשימת בקשות לעבור עליהם" sheetId="1" r:id="rId5"/>
    <sheet state="hidden" name="רשימת בקשות מעודכנת" sheetId="2" r:id="rId6"/>
    <sheet state="visible" name="פרויקטים ב-status advanced שנבד" sheetId="3" r:id="rId7"/>
    <sheet state="visible" name="פרויקטים לעיבוי נקודתי לפי סינו" sheetId="4" r:id="rId8"/>
    <sheet state="visible" name="פרויקטים חדשים שהוקמו" sheetId="5" r:id="rId9"/>
  </sheets>
  <definedNames>
    <definedName hidden="1" localSheetId="0" name="_xlnm._FilterDatabase">'רשימת בקשות לעבור עליהם'!$A$1:$AC$1000</definedName>
    <definedName hidden="1" localSheetId="1" name="_xlnm._FilterDatabase">'רשימת בקשות מעודכנת'!$A$1:$Z$1000</definedName>
    <definedName hidden="1" localSheetId="2" name="_xlnm._FilterDatabase">'פרויקטים ב-status advanced שנבד'!$A$1:$A$1000</definedName>
    <definedName hidden="1" localSheetId="3" name="_xlnm._FilterDatabase">'פרויקטים לעיבוי נקודתי לפי סינו'!$A$1:$B$57</definedName>
    <definedName hidden="1" localSheetId="4" name="_xlnm._FilterDatabase">'פרויקטים חדשים שהוקמו'!$A$1:$A$1000</definedName>
  </definedNames>
  <calcPr/>
</workbook>
</file>

<file path=xl/sharedStrings.xml><?xml version="1.0" encoding="utf-8"?>
<sst xmlns="http://schemas.openxmlformats.org/spreadsheetml/2006/main" count="2014" uniqueCount="510">
  <si>
    <t>request_number</t>
  </si>
  <si>
    <t>מזהה הפרויקט</t>
  </si>
  <si>
    <t>vlookup</t>
  </si>
  <si>
    <t>flag</t>
  </si>
  <si>
    <t>גרופית_באגמים</t>
  </si>
  <si>
    <t>city</t>
  </si>
  <si>
    <t>project_id</t>
  </si>
  <si>
    <t>project_name</t>
  </si>
  <si>
    <t>אגמים_אשקלון</t>
  </si>
  <si>
    <t>מזהה פרויקט</t>
  </si>
  <si>
    <t>project_sug_bnia</t>
  </si>
  <si>
    <t>ליאם_נחמיאס_אשקלון__מתחם_1</t>
  </si>
  <si>
    <t>project_gush_helka</t>
  </si>
  <si>
    <t>כ_כוכב_הנגב_בבלוט_ח</t>
  </si>
  <si>
    <t>project_migrash</t>
  </si>
  <si>
    <t>הרב_דוד_בוזגלו_69-73-76-78_אשקלון</t>
  </si>
  <si>
    <t>match_method</t>
  </si>
  <si>
    <t>אשקלון_מתחם_44_מגרש_305</t>
  </si>
  <si>
    <t>db_status</t>
  </si>
  <si>
    <t>scraped_status</t>
  </si>
  <si>
    <t>מגרש_203_214_אגמים_מזרח_אשקלון</t>
  </si>
  <si>
    <t>scraped_status_date</t>
  </si>
  <si>
    <t>מתחם_71403_עיר_היין_אשקלון</t>
  </si>
  <si>
    <t>הרב_בוזגלו_דוד_69_אשקלון</t>
  </si>
  <si>
    <t>הרב_בוזגלו_דוד_26_אשקלון</t>
  </si>
  <si>
    <t>מגרש_110_אבן_עזרא_אשקלון</t>
  </si>
  <si>
    <t>type_confirmed</t>
  </si>
  <si>
    <t>מגרש_13_בעיר_היין_אשקלון</t>
  </si>
  <si>
    <t>request_date</t>
  </si>
  <si>
    <t>מתחם_יג_מתחם_74494_מגרש_120_אשקלון</t>
  </si>
  <si>
    <t>request_category</t>
  </si>
  <si>
    <t>מתחם_78377_78375_אבן_עזרא_אשקלון</t>
  </si>
  <si>
    <t>full_address</t>
  </si>
  <si>
    <t>אריה_עוזר_6-8_אשקלון</t>
  </si>
  <si>
    <t>request_type</t>
  </si>
  <si>
    <t>משה_דיין_9_אשקלון</t>
  </si>
  <si>
    <t>shimush_ikari</t>
  </si>
  <si>
    <t>אשקלון_שכ'_צפונית_מתחם_30</t>
  </si>
  <si>
    <t>unit_count</t>
  </si>
  <si>
    <t>מתחם_54242_אשקלון</t>
  </si>
  <si>
    <t>החלוץ_פינת_דוד_רמז_אשקלון</t>
  </si>
  <si>
    <t>manual_review_event</t>
  </si>
  <si>
    <t>bakasha_description</t>
  </si>
  <si>
    <t>מגרש_138_בעיר_היין_אשקלון</t>
  </si>
  <si>
    <t>requestor</t>
  </si>
  <si>
    <t>מתחם_ג_מתחם_74484_מגרש_107_אשקלון</t>
  </si>
  <si>
    <t>permit_block_lot</t>
  </si>
  <si>
    <t>permit_migrash</t>
  </si>
  <si>
    <t>מתחם_ב_מתחם_74483_מגרש_105_אשקלון</t>
  </si>
  <si>
    <t>request_url</t>
  </si>
  <si>
    <t>מגרש_200_201_אבן_עזרא_אשקלון</t>
  </si>
  <si>
    <t>הכורמים_60_אשקלון</t>
  </si>
  <si>
    <t>מתחם_א_מתחם_74482_מגרש_100_אשקלון</t>
  </si>
  <si>
    <t>מגרש_106_עיר_היין_אשקלון</t>
  </si>
  <si>
    <t>דוריף_85_אשקלון</t>
  </si>
  <si>
    <t>מגרש_125_126_עיר_היין_אשקלון</t>
  </si>
  <si>
    <t>אסום_בשכונת_הבלוט_מגרש_3_8_אשקלון</t>
  </si>
  <si>
    <t>עשרת_שבטים_4_אשקלון</t>
  </si>
  <si>
    <t>status_advanced</t>
  </si>
  <si>
    <t>אשקלון</t>
  </si>
  <si>
    <t>טופ אגמים - אשקלון</t>
  </si>
  <si>
    <t>בניה חדשה</t>
  </si>
  <si>
    <t>2886-8 , 2886-9 , 2886-10</t>
  </si>
  <si>
    <t>120/101/02/4+307 , 120/101/02/4+402 , 120/101/02/4+403</t>
  </si>
  <si>
    <t>gush_helka</t>
  </si>
  <si>
    <t>היתר בניה</t>
  </si>
  <si>
    <t>טופס 4</t>
  </si>
  <si>
    <t>27/10/2022</t>
  </si>
  <si>
    <t>בקשה להיתר</t>
  </si>
  <si>
    <t>מפל התנור 10 אשקלון</t>
  </si>
  <si>
    <t>בניה חדשה רוויה</t>
  </si>
  <si>
    <t>מגורים חדש -רוויה</t>
  </si>
  <si>
    <t>גרופית נכסים והנדסה(1993)בע"מ</t>
  </si>
  <si>
    <t>https://ashkelon.complot.co.il/newengine/Pages/request2.aspx#request/20160086</t>
  </si>
  <si>
    <t>מתחם_71404_עיר_היין_אשקלון</t>
  </si>
  <si>
    <t>מתחם_71407_עיר_היין_אשקלון</t>
  </si>
  <si>
    <t>מתחם_71408_עיר_היין_אשקלון</t>
  </si>
  <si>
    <t>אגמים אשקלון</t>
  </si>
  <si>
    <t>120/101/02/4+200</t>
  </si>
  <si>
    <t>15/03/2016</t>
  </si>
  <si>
    <t>שד' עמק יזרעאל 3 אשקלון</t>
  </si>
  <si>
    <t>רונידן חב' לבנין בע"מ</t>
  </si>
  <si>
    <t>https://ashkelon.complot.co.il/newengine/Pages/request2.aspx#request/20160462</t>
  </si>
  <si>
    <t>דרום_אפריקה_1_אשקלון</t>
  </si>
  <si>
    <t>31/07/2022</t>
  </si>
  <si>
    <t>מגרש_605_בעיר_היין_אשקלון_מסחרי</t>
  </si>
  <si>
    <t>נחל פרת 3 אשקלון</t>
  </si>
  <si>
    <t>מתחם_71401_עיר_היין_אשקלון</t>
  </si>
  <si>
    <t>אבי נמני הנדסה ובנין בע"מ</t>
  </si>
  <si>
    <t>https://ashkelon.complot.co.il/newengine/Pages/request2.aspx#request/20160463</t>
  </si>
  <si>
    <t>ליאם נחמיאס בבלוט מתחם א אשקלון</t>
  </si>
  <si>
    <t>1967-15 , 1967-47 , 2950-10</t>
  </si>
  <si>
    <t>192/03/4+1</t>
  </si>
  <si>
    <t>ח_דניאל_בבלוט_א</t>
  </si>
  <si>
    <t>29/10/2023</t>
  </si>
  <si>
    <t>13/01/2019</t>
  </si>
  <si>
    <t>בקשה להיתר הקלות/ש.חורג</t>
  </si>
  <si>
    <t>שד' אריה תגר 15 אשקלון</t>
  </si>
  <si>
    <t>בנייה רוויה דיור למשתכן</t>
  </si>
  <si>
    <t>שפירא_החדשה</t>
  </si>
  <si>
    <t>ליאם נחמיאס חב' לבנין בע"מ</t>
  </si>
  <si>
    <t>https://ashkelon.complot.co.il/newengine/Pages/request2.aspx#request/20190022</t>
  </si>
  <si>
    <t>שפירא_16_אשקלון</t>
  </si>
  <si>
    <t>אשקלון_מתחם_38</t>
  </si>
  <si>
    <t>אריה עוזר 6-8 אשקלון</t>
  </si>
  <si>
    <t>1241-58 , 1241-63 , 1241-90</t>
  </si>
  <si>
    <t>30/09/2024</t>
  </si>
  <si>
    <t>15/03/2022</t>
  </si>
  <si>
    <t>אריה עוזר 8 אשקלון</t>
  </si>
  <si>
    <t>פרירון_עלית_אשקלון</t>
  </si>
  <si>
    <t>בניה רוייה מעל 10 קומות</t>
  </si>
  <si>
    <t>אורות גת בע"מ</t>
  </si>
  <si>
    <t>1241-63</t>
  </si>
  <si>
    <t>https://ashkelon.complot.co.il/newengine/Pages/request2.aspx#request/20220191</t>
  </si>
  <si>
    <t>בלפור_23_אשקלון</t>
  </si>
  <si>
    <t>YAMA דמרי במרינה אשקלון</t>
  </si>
  <si>
    <t>1938-433 , 1938-441</t>
  </si>
  <si>
    <t>19/10/2020</t>
  </si>
  <si>
    <t>פרוויקט_ההסתדרות_אשקלון</t>
  </si>
  <si>
    <t>משה דיין 9 אשקלון</t>
  </si>
  <si>
    <t>י.ח. דמרי בניה ופיתוח</t>
  </si>
  <si>
    <t>1938-433</t>
  </si>
  <si>
    <t>https://ashkelon.complot.co.il/newengine/Pages/request2.aspx#request/20200694</t>
  </si>
  <si>
    <t>קלוד_נחמיאס_אשקלון_מתחם_2</t>
  </si>
  <si>
    <t>הקיקיון_אשקלון</t>
  </si>
  <si>
    <t>כ.כוכב הנגב בבלוט מתחם ב'</t>
  </si>
  <si>
    <t>1967-16 , 1967-17 , 2950-48</t>
  </si>
  <si>
    <t>192/03/4+14</t>
  </si>
  <si>
    <t>מתחם_71402_עיר_היין_אשקלון</t>
  </si>
  <si>
    <t>18/03/2026</t>
  </si>
  <si>
    <t>29/10/2018</t>
  </si>
  <si>
    <t>זהבון 3 אשקלון</t>
  </si>
  <si>
    <t>כ.כוכב הנגב חב' לבנין ופתוח (1990) בע"מ</t>
  </si>
  <si>
    <t>מתחם_71409_עיר_היין_אשקלון</t>
  </si>
  <si>
    <t>2950-48</t>
  </si>
  <si>
    <t>https://ashkelon.complot.co.il/newengine/Pages/request2.aspx#request/20200787</t>
  </si>
  <si>
    <t>נחלה_16_אשקלון</t>
  </si>
  <si>
    <t>ג.ג.א.ב יזום נכסים והשקעות בשכ' צפונית אשקלון מתחם ב'</t>
  </si>
  <si>
    <t>371-52 , 371-53 , 371-56 , 371-57 , 371-58 , 371-59 , 371-60 , 371-69</t>
  </si>
  <si>
    <t>תמל/1006+114 , תמל/1006+311</t>
  </si>
  <si>
    <t>30/04/2026</t>
  </si>
  <si>
    <t>13/04/2021</t>
  </si>
  <si>
    <t>דרך ארץ 24 אשקלון</t>
  </si>
  <si>
    <t>ג.ג.א.ב. ייזום נכסים והשקעות בע"מ</t>
  </si>
  <si>
    <t>371-52</t>
  </si>
  <si>
    <t>https://ashkelon.complot.co.il/newengine/Pages/request2.aspx#request/20210261</t>
  </si>
  <si>
    <t>דרך ארץ 18 אשקלון</t>
  </si>
  <si>
    <t>371-56</t>
  </si>
  <si>
    <t>https://ashkelon.complot.co.il/newengine/Pages/request2.aspx#request/20210262</t>
  </si>
  <si>
    <t>מתחם_טו_מתחם_74496_מגרש_1000_אשקלון</t>
  </si>
  <si>
    <t>מתחם_טז_מתחם_74497_מגרשים_1001_1002_אשקלון</t>
  </si>
  <si>
    <t>ליאם נחמיאס בעיר היין, מתחם 44, אשקלון</t>
  </si>
  <si>
    <t>369-52 , 369-63 , 369-71 , 369-72 , 369-76</t>
  </si>
  <si>
    <t>תמל/1006+305</t>
  </si>
  <si>
    <t>היוצרים_61_אשקלון</t>
  </si>
  <si>
    <t>21/06/2026</t>
  </si>
  <si>
    <t>19/10/2021</t>
  </si>
  <si>
    <t>דרך ארץ 34 אשקלון</t>
  </si>
  <si>
    <t>מגרש_303_308_עיר_היין_אשקלון</t>
  </si>
  <si>
    <t>369-71</t>
  </si>
  <si>
    <t>https://ashkelon.complot.co.il/newengine/Pages/request2.aspx#request/20210732</t>
  </si>
  <si>
    <t>דרך_היין_12_16_אשקלון</t>
  </si>
  <si>
    <t>אביסרור באגמים הירוקה, אשקלון</t>
  </si>
  <si>
    <t>1474-61 , 1474-68 , 1474-71 , 1475-58 , 1476-67</t>
  </si>
  <si>
    <t>תמל/1022+203 , תמל/1022+214</t>
  </si>
  <si>
    <t>לייפר_מילר_רחל_17_אשקלון</t>
  </si>
  <si>
    <t>17/02/2025</t>
  </si>
  <si>
    <t>26/10/2021</t>
  </si>
  <si>
    <t>נופר 1 אשקלון</t>
  </si>
  <si>
    <t>אביסרור משה ובניו עבודות בנין ופתוח בע"מ</t>
  </si>
  <si>
    <t>1475-58</t>
  </si>
  <si>
    <t>מגרש_54א_בשכונת_מגדל_אשקלון</t>
  </si>
  <si>
    <t>https://ashkelon.complot.co.il/newengine/Pages/request2.aspx#request/20210746</t>
  </si>
  <si>
    <t>ארגמן_18_אשקלון</t>
  </si>
  <si>
    <t>14/11/2021</t>
  </si>
  <si>
    <t>שד' עמק יזרעאל 75 אשקלון</t>
  </si>
  <si>
    <t>מגרש_114_115_אבן_עזרא_אשקלון</t>
  </si>
  <si>
    <t>1476-67</t>
  </si>
  <si>
    <t>https://ashkelon.complot.co.il/newengine/Pages/request2.aspx#request/20210795</t>
  </si>
  <si>
    <t>מגרש_118_אבן_עזרא_אשקלון</t>
  </si>
  <si>
    <t>קבוצת נמיר נדל"ן במגרש 3 עיר היין אשקלון</t>
  </si>
  <si>
    <t>362-88 , 363-60</t>
  </si>
  <si>
    <t>תמל/1006+3</t>
  </si>
  <si>
    <t>28/04/2022</t>
  </si>
  <si>
    <t>מגרש_123_204_אבן_עזרא_אשקלון</t>
  </si>
  <si>
    <t>היינן 33 אשקלון</t>
  </si>
  <si>
    <t>נמיר בעיר היין בע"מ</t>
  </si>
  <si>
    <t>362-88</t>
  </si>
  <si>
    <t>https://ashkelon.complot.co.il/newengine/Pages/request2.aspx#request/20220304</t>
  </si>
  <si>
    <t>ארגמן_18_אשקלון_מסחרי</t>
  </si>
  <si>
    <t>דוריף_71_אשקלון</t>
  </si>
  <si>
    <t>שדרות בגין מנחם 28, אשקלון</t>
  </si>
  <si>
    <t>108/101/02/4+145</t>
  </si>
  <si>
    <t>המתכנן_18_אשקלון</t>
  </si>
  <si>
    <t>18/06/2026</t>
  </si>
  <si>
    <t>בגין מנחם 28 אשקלון</t>
  </si>
  <si>
    <t>מבנה מגורים+מסחר מעל 10 ק</t>
  </si>
  <si>
    <t>רם אדרת מגורים בע"מ</t>
  </si>
  <si>
    <t>https://ashkelon.complot.co.il/newengine/Pages/request2.aspx#request/20220379</t>
  </si>
  <si>
    <t>מגרש_439_בעיר_היין_אשקלון</t>
  </si>
  <si>
    <t>אריה עוזר 6 אשקלון</t>
  </si>
  <si>
    <t>מגרש_443_בעיר_היין_אשקלון</t>
  </si>
  <si>
    <t>https://ashkelon.complot.co.il/newengine/Pages/request2.aspx#request/20220876</t>
  </si>
  <si>
    <t>מתחם_78376_אבן_עזרא_אשקלון</t>
  </si>
  <si>
    <t>28/01/2026</t>
  </si>
  <si>
    <t>צפניה 25 אשקלון</t>
  </si>
  <si>
    <t>https://ashkelon.complot.co.il/newengine/Pages/request2.aspx#request/20220878</t>
  </si>
  <si>
    <t>החלוץ פינת דוד רמז, אשקלון</t>
  </si>
  <si>
    <t>1247-35 , 1247-38 , 1297-1 , 1297-3</t>
  </si>
  <si>
    <t>13/04/2026</t>
  </si>
  <si>
    <t>13/12/2022</t>
  </si>
  <si>
    <t>החלוץ אשקלון</t>
  </si>
  <si>
    <t>מבנה מגורים משולב במסחר</t>
  </si>
  <si>
    <t>דיור מיוחד,מסחר,משרדים</t>
  </si>
  <si>
    <t>ד.י. דוידי השק' בנדל"ן בע"מ</t>
  </si>
  <si>
    <t>1297-3</t>
  </si>
  <si>
    <t>https://ashkelon.complot.co.il/newengine/Pages/request2.aspx#request/20220897</t>
  </si>
  <si>
    <t>13/08/2025</t>
  </si>
  <si>
    <t>מגורים.</t>
  </si>
  <si>
    <t>י.ח. דמרי בניה ופיתוח בע"מ</t>
  </si>
  <si>
    <t>https://ashkelon.complot.co.il/newengine/Pages/request2.aspx#request/20230224</t>
  </si>
  <si>
    <t>הרב בוזגלו דוד 69 אשקלון</t>
  </si>
  <si>
    <t>1966-396</t>
  </si>
  <si>
    <t>היתר בתנאים</t>
  </si>
  <si>
    <t>היתר</t>
  </si>
  <si>
    <t>25/03/2026</t>
  </si>
  <si>
    <t>16/05/2024</t>
  </si>
  <si>
    <t>הרב דוד בוזגלו 71 אשקלון</t>
  </si>
  <si>
    <t>ש.מ. חופית הנדסה ובניה בע"מ</t>
  </si>
  <si>
    <t>https://ashkelon.complot.co.il/newengine/Pages/request2.aspx#request/20230313</t>
  </si>
  <si>
    <t>הרב בוזגלו דוד 26 אשקלון</t>
  </si>
  <si>
    <t>1936-348</t>
  </si>
  <si>
    <t>25/02/2026</t>
  </si>
  <si>
    <t>הרב דוד בוזגלו 26 אשקלון</t>
  </si>
  <si>
    <t>מסחר/משרדים</t>
  </si>
  <si>
    <t>וואסט מ.ל נכסים 2006 בע"מ</t>
  </si>
  <si>
    <t>https://ashkelon.complot.co.il/newengine/Pages/request2.aspx#request/20230593</t>
  </si>
  <si>
    <t>אבני חושן</t>
  </si>
  <si>
    <t>1197-87 , 1197-89 , 1197-90 , 1197-91 , 1197-92 , 1197-93 , 1197-95 , 1197-100</t>
  </si>
  <si>
    <t>תמל/1048+108 , תמל/1048+110</t>
  </si>
  <si>
    <t>23/06/2026</t>
  </si>
  <si>
    <t>הרב יוסף שרביט 5 אשקלון</t>
  </si>
  <si>
    <t>א.ד.מ. בוני ישראל יזמות ובניה בע"מ</t>
  </si>
  <si>
    <t>1197-87</t>
  </si>
  <si>
    <t>https://ashkelon.complot.co.il/newengine/Pages/request2.aspx#request/20230759</t>
  </si>
  <si>
    <t>מגרש 138 בעיר היין אשקלון</t>
  </si>
  <si>
    <t>1199-60 , 1199-67 , 1199-79 , 1199-81</t>
  </si>
  <si>
    <t>תמל/1006+138</t>
  </si>
  <si>
    <t>16/03/2026</t>
  </si>
  <si>
    <t>היוצרים 45 אשקלון</t>
  </si>
  <si>
    <t>גוהרי יוסי השקעות בע"מ</t>
  </si>
  <si>
    <t>1199-67</t>
  </si>
  <si>
    <t>https://ashkelon.complot.co.il/newengine/Pages/request2.aspx#request/20240290</t>
  </si>
  <si>
    <t>מ.א.י אביבי ייזום ובנייה בשכונת אבן עזרא אשקלון</t>
  </si>
  <si>
    <t>1197-93 , 1197-94 , 1197-95 , 1197-96</t>
  </si>
  <si>
    <t>תמל/1048+107</t>
  </si>
  <si>
    <t>נבדק?</t>
  </si>
  <si>
    <t>22/06/2026</t>
  </si>
  <si>
    <t>24/06/2024</t>
  </si>
  <si>
    <t>האם הבקשה שויכה לפרויקט הנכון?</t>
  </si>
  <si>
    <t>הרב יוסף שרביט 3 אשקלון</t>
  </si>
  <si>
    <t>הערות</t>
  </si>
  <si>
    <t>מזהה פרויקט חדש</t>
  </si>
  <si>
    <t>מ.א.י אביבי ייזום ובניה בע"מ</t>
  </si>
  <si>
    <t>1197-93</t>
  </si>
  <si>
    <t>https://ashkelon.complot.co.il/newengine/Pages/request2.aspx#request/20240348</t>
  </si>
  <si>
    <t>האחים בוסקילה מגרש 105 בשכונת אבן עזרא אשקלון</t>
  </si>
  <si>
    <t>1197-81 , 1197-82 , 1197-83 , 1197-85 , 1197-86 , 1197-87 , 1197-98</t>
  </si>
  <si>
    <t>תמל/1048+105</t>
  </si>
  <si>
    <t>26/03/2026</t>
  </si>
  <si>
    <t>טרם נקבעה כתובת למגרש אשקלון</t>
  </si>
  <si>
    <t>חברת אחים בוסקילה בע"מ</t>
  </si>
  <si>
    <t>1197-81</t>
  </si>
  <si>
    <t>https://ashkelon.complot.co.il/newengine/Pages/request2.aspx#request/20240650</t>
  </si>
  <si>
    <t>גשם החזקות באבן עזרא אשקלון</t>
  </si>
  <si>
    <t>1197-77 , 1197-78 , 1197-82 , 1197-97 , 1198-50 , 1198-52 , 1198-72</t>
  </si>
  <si>
    <t>תמל/1048+200 , תמל/1048+201</t>
  </si>
  <si>
    <t>טרום בקשה</t>
  </si>
  <si>
    <t>17/03/2026</t>
  </si>
  <si>
    <t>18/12/2024</t>
  </si>
  <si>
    <t>יורו גשם בע"מ</t>
  </si>
  <si>
    <t>1197-82</t>
  </si>
  <si>
    <t>https://ashkelon.complot.co.il/newengine/Pages/request2.aspx#request/20240697</t>
  </si>
  <si>
    <t>1197-77</t>
  </si>
  <si>
    <t>https://ashkelon.complot.co.il/newengine/Pages/request2.aspx#request/20240698</t>
  </si>
  <si>
    <t>צפריר וזוהר שרבט בעיר היין אשקלון</t>
  </si>
  <si>
    <t>1199-65 , 1199-66 , 1199-79</t>
  </si>
  <si>
    <t>תמל/1006+117</t>
  </si>
  <si>
    <t>24/03/2026</t>
  </si>
  <si>
    <t>22/02/2025</t>
  </si>
  <si>
    <t>דרך ארץ 13 אשקלון</t>
  </si>
  <si>
    <t>זוהר וצפריר שרבט בע"מ</t>
  </si>
  <si>
    <t>1199-65</t>
  </si>
  <si>
    <t>https://ashkelon.complot.co.il/newengine/Pages/request2.aspx#request/20250098</t>
  </si>
  <si>
    <t>אחוזת אפרידר</t>
  </si>
  <si>
    <t>1966-402 , 1966-403 , 1966-404 , 1966-405</t>
  </si>
  <si>
    <t>י.ח דמרי בניה ופיתוח בשכונת אבן עזרא אשקלון</t>
  </si>
  <si>
    <t>1197-78 , 1197-80 , 1197-81 , 1197-82 , 1197-97</t>
  </si>
  <si>
    <t>תמל/1048+100</t>
  </si>
  <si>
    <t>20/08/2025</t>
  </si>
  <si>
    <t>25/01/2026</t>
  </si>
  <si>
    <t>29/11/2020</t>
  </si>
  <si>
    <t>הרב דוד בוזגלו 73 אשקלון</t>
  </si>
  <si>
    <t>מבני ציבור</t>
  </si>
  <si>
    <t>י.ח.דמרי בניה ופיתוח בע"מ.</t>
  </si>
  <si>
    <t>1197-78</t>
  </si>
  <si>
    <t>https://ashkelon.complot.co.il/newengine/Pages/request2.aspx#request/20250129</t>
  </si>
  <si>
    <t>אפרידר החברה לשכון ופתוח ישראל בע"מ</t>
  </si>
  <si>
    <t>1966-404</t>
  </si>
  <si>
    <t>מגרש 106 בעיר היין אשקלון</t>
  </si>
  <si>
    <t>363-63 , 363-65 , 363-71 , 363-73 , 363-75</t>
  </si>
  <si>
    <t>תמל/1006+106</t>
  </si>
  <si>
    <t>30/12/2025</t>
  </si>
  <si>
    <t>29/06/2026</t>
  </si>
  <si>
    <t>הרב דוד בוזגלו 69 אשקלון</t>
  </si>
  <si>
    <t>19/05/2025</t>
  </si>
  <si>
    <t>דרך ארץ 56 אשקלון</t>
  </si>
  <si>
    <t>מגורים - רישוי זמין</t>
  </si>
  <si>
    <t>1966-405</t>
  </si>
  <si>
    <t>363-75</t>
  </si>
  <si>
    <t>https://ashkelon.complot.co.il/newengine/Pages/request2.aspx#request/20250232</t>
  </si>
  <si>
    <t>מגרש 13 בעיר היין אשקלון</t>
  </si>
  <si>
    <t>362-93 , 362-94 , 362-95 , 362-98 , 369-58 , 369-59</t>
  </si>
  <si>
    <t>תמל/1006+13</t>
  </si>
  <si>
    <t>חמרא 40 אשקלון</t>
  </si>
  <si>
    <t>362-93</t>
  </si>
  <si>
    <t>https://ashkelon.complot.co.il/newengine/Pages/request2.aspx#request/20250262</t>
  </si>
  <si>
    <t>עיוש רפאל בשכונת אבן עזרא אשקלון</t>
  </si>
  <si>
    <t>1196-79 , 1196-81 , 1196-88 , 1196-89 , 1196-90</t>
  </si>
  <si>
    <t>תמל/1048+120</t>
  </si>
  <si>
    <t>עיוש רפאל בע"מ</t>
  </si>
  <si>
    <t>1196-90</t>
  </si>
  <si>
    <t>https://ashkelon.complot.co.il/newengine/Pages/request2.aspx#request/20250266</t>
  </si>
  <si>
    <t>רמט טרום במתחם 74532-74533 עיר היין אשקלון</t>
  </si>
  <si>
    <t>362-101 , 362-103 , 362-105 , 363-73 , 363-75</t>
  </si>
  <si>
    <t>תמל/1006+104 , תמל/1006+105</t>
  </si>
  <si>
    <t>27/07/2025</t>
  </si>
  <si>
    <t>אריאל שרון 56 אשקלון</t>
  </si>
  <si>
    <t>רמט טרום בע"מ</t>
  </si>
  <si>
    <t>362-101</t>
  </si>
  <si>
    <t>https://ashkelon.complot.co.il/newengine/Pages/request2.aspx#request/20250354</t>
  </si>
  <si>
    <t>אריאל שרון 62 אשקלון</t>
  </si>
  <si>
    <t>362-105</t>
  </si>
  <si>
    <t>https://ashkelon.complot.co.il/newengine/Pages/request2.aspx#request/20250355</t>
  </si>
  <si>
    <t>untracked</t>
  </si>
  <si>
    <t>הקונכייה 1 אשקלון</t>
  </si>
  <si>
    <t>מלונאות (איכסון מלונאי)</t>
  </si>
  <si>
    <t>אגודת אכסניית נוער בישראל</t>
  </si>
  <si>
    <t>2950-41</t>
  </si>
  <si>
    <t>https://ashkelon.complot.co.il/newengine/Pages/request2.aspx#request/20250376</t>
  </si>
  <si>
    <t>14/08/2025</t>
  </si>
  <si>
    <t>יונה 7 אשקלון</t>
  </si>
  <si>
    <t>הריסה ובניה מחדש</t>
  </si>
  <si>
    <t>ואדעי ישי</t>
  </si>
  <si>
    <t>1207-144</t>
  </si>
  <si>
    <t>https://ashkelon.complot.co.il/newengine/Pages/request2.aspx#request/20250397</t>
  </si>
  <si>
    <t>לא רלוונטי-בקשה של העיריה למבני ציבור</t>
  </si>
  <si>
    <t>14/05/2026</t>
  </si>
  <si>
    <t>הגתות 8 אשקלון</t>
  </si>
  <si>
    <t>עמיעד 13 אשקלון</t>
  </si>
  <si>
    <t>עיריית אשקלון</t>
  </si>
  <si>
    <t>דרנקובסקי מקסים</t>
  </si>
  <si>
    <t>3051-72</t>
  </si>
  <si>
    <t>388-1</t>
  </si>
  <si>
    <t>https://ashkelon.complot.co.il/newengine/Pages/request2.aspx#request/20250409</t>
  </si>
  <si>
    <t>17/09/2025</t>
  </si>
  <si>
    <t>מגרשים 102, 106 באבן עזרא אשקלון</t>
  </si>
  <si>
    <t>1197-79 , 1197-84 , 1197-85 , 1197-86 , 1197-89 , 1197-90 , 1197-98</t>
  </si>
  <si>
    <t>שאר ישוב 27 אשקלון</t>
  </si>
  <si>
    <t>תמל/1048+102 , תמל/1048+106</t>
  </si>
  <si>
    <t>1203-19</t>
  </si>
  <si>
    <t>960A</t>
  </si>
  <si>
    <t>הרב יוסף שרביט 18 אשקלון</t>
  </si>
  <si>
    <t>שגיא אלמקייס יזמות ובניה בע"מ</t>
  </si>
  <si>
    <t>1197-85</t>
  </si>
  <si>
    <t>https://ashkelon.complot.co.il/newengine/Pages/request2.aspx#request/20250437</t>
  </si>
  <si>
    <t>17/11/2025</t>
  </si>
  <si>
    <t>הכורמים 6 אשקלון</t>
  </si>
  <si>
    <t>1203-14</t>
  </si>
  <si>
    <t>30/09/2025</t>
  </si>
  <si>
    <t>לא רלוונטי-אכסניית  נוער</t>
  </si>
  <si>
    <t>הרב יורם אברג'ל 35 אשקלון</t>
  </si>
  <si>
    <t>שירז תעשיות כבלים בע"מ</t>
  </si>
  <si>
    <t>1197-79</t>
  </si>
  <si>
    <t>https://ashkelon.complot.co.il/newengine/Pages/request2.aspx#request/20250477</t>
  </si>
  <si>
    <t>לא רלוונטי-צמוד קרקע של יזם פרטי</t>
  </si>
  <si>
    <t>14/12/2025</t>
  </si>
  <si>
    <t>28/10/2025</t>
  </si>
  <si>
    <t>החבצלת 30 אשקלון</t>
  </si>
  <si>
    <t>ביטול היתר ובנייה מחדש</t>
  </si>
  <si>
    <t>אביחן סידי</t>
  </si>
  <si>
    <t>1960-89</t>
  </si>
  <si>
    <t>https://ashkelon.complot.co.il/newengine/Pages/request2.aspx#request/20250514</t>
  </si>
  <si>
    <t>26/02/2026</t>
  </si>
  <si>
    <t>רמב"ם 19 אשקלון</t>
  </si>
  <si>
    <t>16/12/2025</t>
  </si>
  <si>
    <t>1201-104</t>
  </si>
  <si>
    <t>חתן סופר 4 אשקלון</t>
  </si>
  <si>
    <t>מכלוף אלירן</t>
  </si>
  <si>
    <t>1962-99</t>
  </si>
  <si>
    <t>https://ashkelon.complot.co.il/newengine/Pages/request2.aspx#request/20250609</t>
  </si>
  <si>
    <t>28/05/2026</t>
  </si>
  <si>
    <t>בדולח 11 אשקלון</t>
  </si>
  <si>
    <t>אלון מרדכי</t>
  </si>
  <si>
    <t>1937-168</t>
  </si>
  <si>
    <t>https://ashkelon.complot.co.il/newengine/Pages/request2.aspx#request/20250610</t>
  </si>
  <si>
    <t>16/02/2026</t>
  </si>
  <si>
    <t>23/10/2025</t>
  </si>
  <si>
    <t>רפסודה 2 אשקלון</t>
  </si>
  <si>
    <t>רבי רפאל אנקווה 16 אשקלון</t>
  </si>
  <si>
    <t>בניה חדשה צמודי קרקע</t>
  </si>
  <si>
    <t>2950-54</t>
  </si>
  <si>
    <t>שחר רוני</t>
  </si>
  <si>
    <t>1938-207</t>
  </si>
  <si>
    <t>https://ashkelon.complot.co.il/newengine/Pages/request2.aspx#request/20250614</t>
  </si>
  <si>
    <t>חזון עובדיה 22 אשקלון</t>
  </si>
  <si>
    <t>19/04/2026</t>
  </si>
  <si>
    <t>1475-1</t>
  </si>
  <si>
    <t>21/12/2025</t>
  </si>
  <si>
    <t>האלון 6 אשקלון</t>
  </si>
  <si>
    <t>זיו משה (עבור גלאם תומר וטלי)</t>
  </si>
  <si>
    <t>1961-44</t>
  </si>
  <si>
    <t>24/11/2025</t>
  </si>
  <si>
    <t>https://ashkelon.complot.co.il/newengine/Pages/request2.aspx#request/20250622</t>
  </si>
  <si>
    <t>רפסודה אשקלון</t>
  </si>
  <si>
    <t>2950-53</t>
  </si>
  <si>
    <t>22/12/2025</t>
  </si>
  <si>
    <t>סלעית 4 אשקלון</t>
  </si>
  <si>
    <t>הגלשן 11 אשקלון</t>
  </si>
  <si>
    <t>סמיון ציטקילוב</t>
  </si>
  <si>
    <t>3046-79</t>
  </si>
  <si>
    <t>2950-20</t>
  </si>
  <si>
    <t>https://ashkelon.complot.co.il/newengine/Pages/request2.aspx#request/20250624</t>
  </si>
  <si>
    <t>25/05/2026</t>
  </si>
  <si>
    <t>הרב אריה לוין 5 אשקלון</t>
  </si>
  <si>
    <t>בוכריס אברהם</t>
  </si>
  <si>
    <t>1966-144</t>
  </si>
  <si>
    <t>https://ashkelon.complot.co.il/newengine/Pages/request2.aspx#request/20250640</t>
  </si>
  <si>
    <t>new_permit</t>
  </si>
  <si>
    <t>קבוצת נחמיאס בעיר היין - מסחרי</t>
  </si>
  <si>
    <t>370-40 , 388-12 , 388-15 , 388-21 , 388-22 , 388-24 , 388-28 , 388-29 , 388-88 , 388-93</t>
  </si>
  <si>
    <t>תמל/1006+307</t>
  </si>
  <si>
    <t>המייל השלישי 10 אשקלון</t>
  </si>
  <si>
    <t>פורט נדל"ן בע"מ</t>
  </si>
  <si>
    <t>388-12</t>
  </si>
  <si>
    <t>https://ashkelon.complot.co.il/newengine/Pages/request2.aspx#request/20260006</t>
  </si>
  <si>
    <t>16/06/2026</t>
  </si>
  <si>
    <t>שד' דרום אפריקה 1 אשקלון</t>
  </si>
  <si>
    <t>אתגר ריינבו באשקלון 1 בע"מ</t>
  </si>
  <si>
    <t>1960-100</t>
  </si>
  <si>
    <t>https://ashkelon.complot.co.il/newengine/Pages/request2.aspx#request/20260016</t>
  </si>
  <si>
    <t>בית שלמה באבן עזרא אשקלון</t>
  </si>
  <si>
    <t>1197-84 , 1197-88 , 1197-89 , 1201-38 , 1201-70</t>
  </si>
  <si>
    <t>תמל/1048+103</t>
  </si>
  <si>
    <t>14/01/2026</t>
  </si>
  <si>
    <t>המתיישבים 14 אשקלון</t>
  </si>
  <si>
    <t>רייבי יהונתן דוד בע"מ</t>
  </si>
  <si>
    <t>1197-84</t>
  </si>
  <si>
    <t>https://ashkelon.complot.co.il/newengine/Pages/request2.aspx#request/20260025</t>
  </si>
  <si>
    <t>דרכי נועם 3 אשקלון</t>
  </si>
  <si>
    <t>מגורים חדש-צמודי קרקע</t>
  </si>
  <si>
    <t>קסנטיני שון</t>
  </si>
  <si>
    <t>375-72</t>
  </si>
  <si>
    <t>https://ashkelon.complot.co.il/newengine/Pages/request2.aspx#request/20260082</t>
  </si>
  <si>
    <t>הוקם דף פרויקט חדש</t>
  </si>
  <si>
    <t>17/02/2026</t>
  </si>
  <si>
    <t>אביר יעקב 11 אשקלון</t>
  </si>
  <si>
    <t>אביסרור משה ובניו עבודות בנין ופיתוח בע"מ</t>
  </si>
  <si>
    <t>1196-71</t>
  </si>
  <si>
    <t>https://ashkelon.complot.co.il/newengine/Pages/request2.aspx#request/20260090</t>
  </si>
  <si>
    <t>22/02/2026</t>
  </si>
  <si>
    <t>המייל השלישי 62 אשקלון</t>
  </si>
  <si>
    <t>מסחר ותעסוקה</t>
  </si>
  <si>
    <t>שגר עיר יין בע"מ</t>
  </si>
  <si>
    <t>368-62</t>
  </si>
  <si>
    <t>https://ashkelon.complot.co.il/newengine/Pages/request2.aspx#request/20260096</t>
  </si>
  <si>
    <t>27/04/2026</t>
  </si>
  <si>
    <t>אופירה 10 אשקלון</t>
  </si>
  <si>
    <t>אלימלך אלמוג</t>
  </si>
  <si>
    <t>3051-77</t>
  </si>
  <si>
    <t>https://ashkelon.complot.co.il/newengine/Pages/request2.aspx#request/20260135</t>
  </si>
  <si>
    <t>26/04/2026</t>
  </si>
  <si>
    <t>עשרת השבטים 23 אשקלון</t>
  </si>
  <si>
    <t>אלחזוב זלמן</t>
  </si>
  <si>
    <t>3050-36</t>
  </si>
  <si>
    <t>18/05/2026</t>
  </si>
  <si>
    <t>מקור הברכה 30 אשקלון</t>
  </si>
  <si>
    <t>https://ashkelon.complot.co.il/newengine/Pages/request2.aspx#request/20260180</t>
  </si>
  <si>
    <t>לוי אלי</t>
  </si>
  <si>
    <t>375-62</t>
  </si>
  <si>
    <t>מולדת ושירנגל בעיר היין אשקלון</t>
  </si>
  <si>
    <t>1200-72 , 1200-73 , 1200-76 , 1201-36 , 1201-37 , 1201-38</t>
  </si>
  <si>
    <t>תמל/1006+125 , תמל/1006+126</t>
  </si>
  <si>
    <t>פטדה 8 אשקלון</t>
  </si>
  <si>
    <t>נחלה 6 אשקלון</t>
  </si>
  <si>
    <t>אילוז דוד מאיר</t>
  </si>
  <si>
    <t>1935-123</t>
  </si>
  <si>
    <t>מולדת שירנגל בעיר היין בע"מ</t>
  </si>
  <si>
    <t>1201-36</t>
  </si>
  <si>
    <t>https://ashkelon.complot.co.il/newengine/Pages/request2.aspx#request/20260184</t>
  </si>
  <si>
    <t>נחלה 14 אשקלון</t>
  </si>
  <si>
    <t>1200-72</t>
  </si>
  <si>
    <t>https://ashkelon.complot.co.il/newengine/Pages/request2.aspx#request/20260185</t>
  </si>
  <si>
    <t>https://ashkelon.complot.co.il/newengine/Pages/request2.aspx#request/20260223</t>
  </si>
  <si>
    <t>https://ashkelon.complot.co.il/newengine/Pages/request2.aspx#request/20260235</t>
  </si>
  <si>
    <t>מדובר על טופס 4 להרצת מערכות בלבד ולא טופס 4 לאכלוס/ תעודת גמר</t>
  </si>
  <si>
    <t>לא רלוונטי-בקשה להגדלת שטח מרפסת</t>
  </si>
  <si>
    <t>לא רלוונטי - חידוש היתר בניה לבניין קיים (שנפגע מרקטה). לא פרויקט חדש.</t>
  </si>
  <si>
    <t>אין נתונים כרגע בבקשה זו</t>
  </si>
  <si>
    <t>בקשה חדשה ורלוונטית בתיק הבניין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</si>
</sst>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yyyy-m"/>
    <numFmt numFmtId="166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shkelon.complot.co.il/newengine/Pages/request2.aspx" TargetMode="External"/><Relationship Id="rId42" Type="http://schemas.openxmlformats.org/officeDocument/2006/relationships/hyperlink" Target="https://ashkelon.complot.co.il/newengine/Pages/request2.aspx" TargetMode="External"/><Relationship Id="rId41" Type="http://schemas.openxmlformats.org/officeDocument/2006/relationships/hyperlink" Target="https://ashkelon.complot.co.il/newengine/Pages/request2.aspx" TargetMode="External"/><Relationship Id="rId44" Type="http://schemas.openxmlformats.org/officeDocument/2006/relationships/hyperlink" Target="https://ashkelon.complot.co.il/newengine/Pages/request2.aspx" TargetMode="External"/><Relationship Id="rId43" Type="http://schemas.openxmlformats.org/officeDocument/2006/relationships/hyperlink" Target="https://ashkelon.complot.co.il/newengine/Pages/request2.aspx" TargetMode="External"/><Relationship Id="rId46" Type="http://schemas.openxmlformats.org/officeDocument/2006/relationships/hyperlink" Target="https://ashkelon.complot.co.il/newengine/Pages/request2.aspx" TargetMode="External"/><Relationship Id="rId45" Type="http://schemas.openxmlformats.org/officeDocument/2006/relationships/hyperlink" Target="https://ashkelon.complot.co.il/newengine/Pages/request2.aspx" TargetMode="External"/><Relationship Id="rId1" Type="http://schemas.openxmlformats.org/officeDocument/2006/relationships/hyperlink" Target="https://ashkelon.complot.co.il/newengine/Pages/request2.aspx" TargetMode="External"/><Relationship Id="rId2" Type="http://schemas.openxmlformats.org/officeDocument/2006/relationships/hyperlink" Target="https://ashkelon.complot.co.il/newengine/Pages/request2.aspx" TargetMode="External"/><Relationship Id="rId3" Type="http://schemas.openxmlformats.org/officeDocument/2006/relationships/hyperlink" Target="https://ashkelon.complot.co.il/newengine/Pages/request2.aspx" TargetMode="External"/><Relationship Id="rId4" Type="http://schemas.openxmlformats.org/officeDocument/2006/relationships/hyperlink" Target="https://ashkelon.complot.co.il/newengine/Pages/request2.aspx" TargetMode="External"/><Relationship Id="rId9" Type="http://schemas.openxmlformats.org/officeDocument/2006/relationships/hyperlink" Target="https://ashkelon.complot.co.il/newengine/Pages/request2.aspx" TargetMode="External"/><Relationship Id="rId48" Type="http://schemas.openxmlformats.org/officeDocument/2006/relationships/hyperlink" Target="https://ashkelon.complot.co.il/newengine/Pages/request2.aspx" TargetMode="External"/><Relationship Id="rId47" Type="http://schemas.openxmlformats.org/officeDocument/2006/relationships/hyperlink" Target="https://ashkelon.complot.co.il/newengine/Pages/request2.aspx" TargetMode="External"/><Relationship Id="rId49" Type="http://schemas.openxmlformats.org/officeDocument/2006/relationships/hyperlink" Target="https://ashkelon.complot.co.il/newengine/Pages/request2.aspx" TargetMode="External"/><Relationship Id="rId5" Type="http://schemas.openxmlformats.org/officeDocument/2006/relationships/hyperlink" Target="https://ashkelon.complot.co.il/newengine/Pages/request2.aspx" TargetMode="External"/><Relationship Id="rId6" Type="http://schemas.openxmlformats.org/officeDocument/2006/relationships/hyperlink" Target="https://ashkelon.complot.co.il/newengine/Pages/request2.aspx" TargetMode="External"/><Relationship Id="rId7" Type="http://schemas.openxmlformats.org/officeDocument/2006/relationships/hyperlink" Target="https://ashkelon.complot.co.il/newengine/Pages/request2.aspx" TargetMode="External"/><Relationship Id="rId8" Type="http://schemas.openxmlformats.org/officeDocument/2006/relationships/hyperlink" Target="https://ashkelon.complot.co.il/newengine/Pages/request2.aspx" TargetMode="External"/><Relationship Id="rId31" Type="http://schemas.openxmlformats.org/officeDocument/2006/relationships/hyperlink" Target="https://ashkelon.complot.co.il/newengine/Pages/request2.aspx" TargetMode="External"/><Relationship Id="rId30" Type="http://schemas.openxmlformats.org/officeDocument/2006/relationships/hyperlink" Target="https://ashkelon.complot.co.il/newengine/Pages/request2.aspx" TargetMode="External"/><Relationship Id="rId33" Type="http://schemas.openxmlformats.org/officeDocument/2006/relationships/hyperlink" Target="https://ashkelon.complot.co.il/newengine/Pages/request2.aspx" TargetMode="External"/><Relationship Id="rId32" Type="http://schemas.openxmlformats.org/officeDocument/2006/relationships/hyperlink" Target="https://ashkelon.complot.co.il/newengine/Pages/request2.aspx" TargetMode="External"/><Relationship Id="rId35" Type="http://schemas.openxmlformats.org/officeDocument/2006/relationships/hyperlink" Target="https://ashkelon.complot.co.il/newengine/Pages/request2.aspx" TargetMode="External"/><Relationship Id="rId34" Type="http://schemas.openxmlformats.org/officeDocument/2006/relationships/hyperlink" Target="https://ashkelon.complot.co.il/newengine/Pages/request2.aspx" TargetMode="External"/><Relationship Id="rId37" Type="http://schemas.openxmlformats.org/officeDocument/2006/relationships/hyperlink" Target="https://ashkelon.complot.co.il/newengine/Pages/request2.aspx" TargetMode="External"/><Relationship Id="rId36" Type="http://schemas.openxmlformats.org/officeDocument/2006/relationships/hyperlink" Target="https://ashkelon.complot.co.il/newengine/Pages/request2.aspx" TargetMode="External"/><Relationship Id="rId39" Type="http://schemas.openxmlformats.org/officeDocument/2006/relationships/hyperlink" Target="https://ashkelon.complot.co.il/newengine/Pages/request2.aspx" TargetMode="External"/><Relationship Id="rId38" Type="http://schemas.openxmlformats.org/officeDocument/2006/relationships/hyperlink" Target="https://ashkelon.complot.co.il/newengine/Pages/request2.aspx" TargetMode="External"/><Relationship Id="rId20" Type="http://schemas.openxmlformats.org/officeDocument/2006/relationships/hyperlink" Target="https://ashkelon.complot.co.il/newengine/Pages/request2.aspx" TargetMode="External"/><Relationship Id="rId22" Type="http://schemas.openxmlformats.org/officeDocument/2006/relationships/hyperlink" Target="https://ashkelon.complot.co.il/newengine/Pages/request2.aspx" TargetMode="External"/><Relationship Id="rId21" Type="http://schemas.openxmlformats.org/officeDocument/2006/relationships/hyperlink" Target="https://ashkelon.complot.co.il/newengine/Pages/request2.aspx" TargetMode="External"/><Relationship Id="rId24" Type="http://schemas.openxmlformats.org/officeDocument/2006/relationships/hyperlink" Target="https://ashkelon.complot.co.il/newengine/Pages/request2.aspx" TargetMode="External"/><Relationship Id="rId23" Type="http://schemas.openxmlformats.org/officeDocument/2006/relationships/hyperlink" Target="https://ashkelon.complot.co.il/newengine/Pages/request2.aspx" TargetMode="External"/><Relationship Id="rId26" Type="http://schemas.openxmlformats.org/officeDocument/2006/relationships/hyperlink" Target="https://ashkelon.complot.co.il/newengine/Pages/request2.aspx" TargetMode="External"/><Relationship Id="rId25" Type="http://schemas.openxmlformats.org/officeDocument/2006/relationships/hyperlink" Target="https://ashkelon.complot.co.il/newengine/Pages/request2.aspx" TargetMode="External"/><Relationship Id="rId28" Type="http://schemas.openxmlformats.org/officeDocument/2006/relationships/hyperlink" Target="https://ashkelon.complot.co.il/newengine/Pages/request2.aspx" TargetMode="External"/><Relationship Id="rId27" Type="http://schemas.openxmlformats.org/officeDocument/2006/relationships/hyperlink" Target="https://ashkelon.complot.co.il/newengine/Pages/request2.aspx" TargetMode="External"/><Relationship Id="rId29" Type="http://schemas.openxmlformats.org/officeDocument/2006/relationships/hyperlink" Target="https://ashkelon.complot.co.il/newengine/Pages/request2.aspx" TargetMode="External"/><Relationship Id="rId51" Type="http://schemas.openxmlformats.org/officeDocument/2006/relationships/hyperlink" Target="https://ashkelon.complot.co.il/newengine/Pages/request2.aspx" TargetMode="External"/><Relationship Id="rId50" Type="http://schemas.openxmlformats.org/officeDocument/2006/relationships/hyperlink" Target="https://ashkelon.complot.co.il/newengine/Pages/request2.aspx" TargetMode="External"/><Relationship Id="rId53" Type="http://schemas.openxmlformats.org/officeDocument/2006/relationships/hyperlink" Target="https://ashkelon.complot.co.il/newengine/Pages/request2.aspx" TargetMode="External"/><Relationship Id="rId52" Type="http://schemas.openxmlformats.org/officeDocument/2006/relationships/hyperlink" Target="https://ashkelon.complot.co.il/newengine/Pages/request2.aspx" TargetMode="External"/><Relationship Id="rId11" Type="http://schemas.openxmlformats.org/officeDocument/2006/relationships/hyperlink" Target="https://ashkelon.complot.co.il/newengine/Pages/request2.aspx" TargetMode="External"/><Relationship Id="rId55" Type="http://schemas.openxmlformats.org/officeDocument/2006/relationships/hyperlink" Target="https://ashkelon.complot.co.il/newengine/Pages/request2.aspx" TargetMode="External"/><Relationship Id="rId10" Type="http://schemas.openxmlformats.org/officeDocument/2006/relationships/hyperlink" Target="https://ashkelon.complot.co.il/newengine/Pages/request2.aspx" TargetMode="External"/><Relationship Id="rId54" Type="http://schemas.openxmlformats.org/officeDocument/2006/relationships/hyperlink" Target="https://ashkelon.complot.co.il/newengine/Pages/request2.aspx" TargetMode="External"/><Relationship Id="rId13" Type="http://schemas.openxmlformats.org/officeDocument/2006/relationships/hyperlink" Target="https://ashkelon.complot.co.il/newengine/Pages/request2.aspx" TargetMode="External"/><Relationship Id="rId57" Type="http://schemas.openxmlformats.org/officeDocument/2006/relationships/hyperlink" Target="https://ashkelon.complot.co.il/newengine/Pages/request2.aspx" TargetMode="External"/><Relationship Id="rId12" Type="http://schemas.openxmlformats.org/officeDocument/2006/relationships/hyperlink" Target="https://ashkelon.complot.co.il/newengine/Pages/request2.aspx" TargetMode="External"/><Relationship Id="rId56" Type="http://schemas.openxmlformats.org/officeDocument/2006/relationships/hyperlink" Target="https://ashkelon.complot.co.il/newengine/Pages/request2.aspx" TargetMode="External"/><Relationship Id="rId15" Type="http://schemas.openxmlformats.org/officeDocument/2006/relationships/hyperlink" Target="https://ashkelon.complot.co.il/newengine/Pages/request2.aspx" TargetMode="External"/><Relationship Id="rId14" Type="http://schemas.openxmlformats.org/officeDocument/2006/relationships/hyperlink" Target="https://ashkelon.complot.co.il/newengine/Pages/request2.aspx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ashkelon.complot.co.il/newengine/Pages/request2.aspx" TargetMode="External"/><Relationship Id="rId16" Type="http://schemas.openxmlformats.org/officeDocument/2006/relationships/hyperlink" Target="https://ashkelon.complot.co.il/newengine/Pages/request2.aspx" TargetMode="External"/><Relationship Id="rId19" Type="http://schemas.openxmlformats.org/officeDocument/2006/relationships/hyperlink" Target="https://ashkelon.complot.co.il/newengine/Pages/request2.aspx" TargetMode="External"/><Relationship Id="rId18" Type="http://schemas.openxmlformats.org/officeDocument/2006/relationships/hyperlink" Target="https://ashkelon.complot.co.il/newengine/Pages/request2.aspx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4" max="4" width="25.75"/>
    <col customWidth="1" min="5" max="5" width="36.63"/>
    <col customWidth="1" min="6" max="6" width="43.25"/>
    <col customWidth="1" min="7" max="7" width="35.0"/>
    <col customWidth="1" min="9" max="9" width="28.88"/>
    <col customWidth="1" min="21" max="21" width="26.88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12</v>
      </c>
      <c r="G1" s="1" t="s">
        <v>14</v>
      </c>
      <c r="H1" s="11" t="s">
        <v>256</v>
      </c>
      <c r="I1" s="11" t="s">
        <v>259</v>
      </c>
      <c r="J1" s="11" t="s">
        <v>261</v>
      </c>
      <c r="K1" s="11" t="s">
        <v>262</v>
      </c>
      <c r="L1" s="1" t="s">
        <v>10</v>
      </c>
      <c r="M1" s="1" t="s">
        <v>16</v>
      </c>
      <c r="N1" s="1" t="s">
        <v>18</v>
      </c>
      <c r="O1" s="1" t="s">
        <v>19</v>
      </c>
      <c r="P1" s="1" t="s">
        <v>21</v>
      </c>
      <c r="Q1" s="1" t="s">
        <v>26</v>
      </c>
      <c r="R1" s="1" t="s">
        <v>28</v>
      </c>
      <c r="S1" s="1" t="s">
        <v>30</v>
      </c>
      <c r="T1" s="1" t="s">
        <v>32</v>
      </c>
      <c r="U1" s="1" t="s">
        <v>34</v>
      </c>
      <c r="V1" s="1" t="s">
        <v>36</v>
      </c>
      <c r="W1" s="1" t="s">
        <v>38</v>
      </c>
      <c r="X1" s="1" t="s">
        <v>41</v>
      </c>
      <c r="Y1" s="1" t="s">
        <v>42</v>
      </c>
      <c r="Z1" s="1" t="s">
        <v>44</v>
      </c>
      <c r="AA1" s="1" t="s">
        <v>46</v>
      </c>
      <c r="AB1" s="1" t="s">
        <v>47</v>
      </c>
      <c r="AC1" s="1" t="s">
        <v>49</v>
      </c>
      <c r="AD1" s="7"/>
    </row>
    <row r="2">
      <c r="A2" s="1">
        <v>2.0160086E7</v>
      </c>
      <c r="B2" s="1" t="s">
        <v>58</v>
      </c>
      <c r="C2" s="3" t="s">
        <v>59</v>
      </c>
      <c r="D2" s="3" t="s">
        <v>4</v>
      </c>
      <c r="E2" s="3" t="s">
        <v>60</v>
      </c>
      <c r="F2" s="1" t="s">
        <v>62</v>
      </c>
      <c r="G2" s="1" t="s">
        <v>63</v>
      </c>
      <c r="H2" s="1" t="b">
        <v>1</v>
      </c>
      <c r="I2" s="1" t="b">
        <v>1</v>
      </c>
      <c r="J2" s="1"/>
      <c r="K2" s="1"/>
      <c r="L2" s="3" t="s">
        <v>61</v>
      </c>
      <c r="M2" s="1" t="s">
        <v>64</v>
      </c>
      <c r="N2" s="3" t="s">
        <v>65</v>
      </c>
      <c r="O2" s="3" t="s">
        <v>66</v>
      </c>
      <c r="P2" s="1" t="s">
        <v>67</v>
      </c>
      <c r="Q2" s="1" t="b">
        <v>1</v>
      </c>
      <c r="R2" s="6">
        <v>42402.0</v>
      </c>
      <c r="S2" s="3" t="s">
        <v>68</v>
      </c>
      <c r="T2" s="3" t="s">
        <v>69</v>
      </c>
      <c r="U2" s="3" t="s">
        <v>70</v>
      </c>
      <c r="V2" s="3" t="s">
        <v>71</v>
      </c>
      <c r="W2" s="1">
        <v>116.0</v>
      </c>
      <c r="X2" s="7"/>
      <c r="Y2" s="7"/>
      <c r="Z2" s="3" t="s">
        <v>72</v>
      </c>
      <c r="AA2" s="8">
        <v>360405.0</v>
      </c>
      <c r="AB2" s="1">
        <v>403.0</v>
      </c>
      <c r="AC2" s="7"/>
      <c r="AD2" s="7"/>
    </row>
    <row r="3">
      <c r="A3" s="1">
        <v>2.0160462E7</v>
      </c>
      <c r="B3" s="1" t="s">
        <v>58</v>
      </c>
      <c r="C3" s="3" t="s">
        <v>59</v>
      </c>
      <c r="D3" s="3" t="s">
        <v>8</v>
      </c>
      <c r="E3" s="3" t="s">
        <v>77</v>
      </c>
      <c r="F3" s="8">
        <v>358852.0</v>
      </c>
      <c r="G3" s="1" t="s">
        <v>78</v>
      </c>
      <c r="H3" s="1" t="b">
        <v>1</v>
      </c>
      <c r="I3" s="1" t="b">
        <v>1</v>
      </c>
      <c r="J3" s="1"/>
      <c r="K3" s="1"/>
      <c r="L3" s="3" t="s">
        <v>61</v>
      </c>
      <c r="M3" s="1" t="s">
        <v>64</v>
      </c>
      <c r="N3" s="3" t="s">
        <v>65</v>
      </c>
      <c r="O3" s="3" t="s">
        <v>66</v>
      </c>
      <c r="P3" s="6">
        <v>43474.0</v>
      </c>
      <c r="Q3" s="1" t="b">
        <v>1</v>
      </c>
      <c r="R3" s="1" t="s">
        <v>79</v>
      </c>
      <c r="S3" s="3" t="s">
        <v>68</v>
      </c>
      <c r="T3" s="3" t="s">
        <v>80</v>
      </c>
      <c r="U3" s="3" t="s">
        <v>70</v>
      </c>
      <c r="V3" s="3" t="s">
        <v>71</v>
      </c>
      <c r="W3" s="1">
        <v>33.0</v>
      </c>
      <c r="X3" s="7"/>
      <c r="Y3" s="7"/>
      <c r="Z3" s="3" t="s">
        <v>81</v>
      </c>
      <c r="AA3" s="8">
        <v>358852.0</v>
      </c>
      <c r="AB3" s="1">
        <v>200.0</v>
      </c>
      <c r="AC3" s="7"/>
      <c r="AD3" s="7"/>
    </row>
    <row r="4">
      <c r="A4" s="1">
        <v>2.0160463E7</v>
      </c>
      <c r="B4" s="1" t="s">
        <v>58</v>
      </c>
      <c r="C4" s="3" t="s">
        <v>59</v>
      </c>
      <c r="D4" s="3" t="s">
        <v>8</v>
      </c>
      <c r="E4" s="3" t="s">
        <v>77</v>
      </c>
      <c r="F4" s="8">
        <v>358852.0</v>
      </c>
      <c r="G4" s="1" t="s">
        <v>78</v>
      </c>
      <c r="H4" s="1" t="b">
        <v>1</v>
      </c>
      <c r="I4" s="1" t="b">
        <v>1</v>
      </c>
      <c r="J4" s="1"/>
      <c r="K4" s="1"/>
      <c r="L4" s="3" t="s">
        <v>61</v>
      </c>
      <c r="M4" s="1" t="s">
        <v>64</v>
      </c>
      <c r="N4" s="3" t="s">
        <v>65</v>
      </c>
      <c r="O4" s="3" t="s">
        <v>66</v>
      </c>
      <c r="P4" s="1" t="s">
        <v>84</v>
      </c>
      <c r="Q4" s="1" t="b">
        <v>1</v>
      </c>
      <c r="R4" s="1" t="s">
        <v>79</v>
      </c>
      <c r="S4" s="3" t="s">
        <v>68</v>
      </c>
      <c r="T4" s="3" t="s">
        <v>86</v>
      </c>
      <c r="U4" s="3" t="s">
        <v>70</v>
      </c>
      <c r="V4" s="3" t="s">
        <v>71</v>
      </c>
      <c r="W4" s="1">
        <v>27.0</v>
      </c>
      <c r="X4" s="7"/>
      <c r="Y4" s="7"/>
      <c r="Z4" s="3" t="s">
        <v>88</v>
      </c>
      <c r="AA4" s="8">
        <v>358852.0</v>
      </c>
      <c r="AB4" s="1">
        <v>200.0</v>
      </c>
      <c r="AC4" s="7"/>
      <c r="AD4" s="7"/>
    </row>
    <row r="5">
      <c r="A5" s="1">
        <v>2.0190022E7</v>
      </c>
      <c r="B5" s="1" t="s">
        <v>58</v>
      </c>
      <c r="C5" s="3" t="s">
        <v>59</v>
      </c>
      <c r="D5" s="3" t="s">
        <v>11</v>
      </c>
      <c r="E5" s="3" t="s">
        <v>90</v>
      </c>
      <c r="F5" s="1" t="s">
        <v>91</v>
      </c>
      <c r="G5" s="1" t="s">
        <v>92</v>
      </c>
      <c r="H5" s="1" t="b">
        <v>1</v>
      </c>
      <c r="I5" s="1" t="b">
        <v>1</v>
      </c>
      <c r="J5" s="1"/>
      <c r="K5" s="1"/>
      <c r="L5" s="3" t="s">
        <v>61</v>
      </c>
      <c r="M5" s="1" t="s">
        <v>64</v>
      </c>
      <c r="N5" s="3" t="s">
        <v>65</v>
      </c>
      <c r="O5" s="3" t="s">
        <v>66</v>
      </c>
      <c r="P5" s="1" t="s">
        <v>94</v>
      </c>
      <c r="Q5" s="1" t="b">
        <v>1</v>
      </c>
      <c r="R5" s="1" t="s">
        <v>95</v>
      </c>
      <c r="S5" s="3" t="s">
        <v>96</v>
      </c>
      <c r="T5" s="3" t="s">
        <v>97</v>
      </c>
      <c r="U5" s="3" t="s">
        <v>70</v>
      </c>
      <c r="V5" s="3" t="s">
        <v>98</v>
      </c>
      <c r="W5" s="1">
        <v>73.0</v>
      </c>
      <c r="X5" s="7"/>
      <c r="Y5" s="7"/>
      <c r="Z5" s="3" t="s">
        <v>100</v>
      </c>
      <c r="AA5" s="8">
        <v>383780.0</v>
      </c>
      <c r="AB5" s="1">
        <v>1.0</v>
      </c>
      <c r="AC5" s="7"/>
      <c r="AD5" s="7"/>
    </row>
    <row r="6">
      <c r="A6" s="1">
        <v>2.0200787E7</v>
      </c>
      <c r="B6" s="1" t="s">
        <v>58</v>
      </c>
      <c r="C6" s="3" t="s">
        <v>59</v>
      </c>
      <c r="D6" s="3" t="s">
        <v>13</v>
      </c>
      <c r="E6" s="3" t="s">
        <v>125</v>
      </c>
      <c r="F6" s="1" t="s">
        <v>126</v>
      </c>
      <c r="G6" s="1" t="s">
        <v>127</v>
      </c>
      <c r="H6" s="1" t="b">
        <v>1</v>
      </c>
      <c r="I6" s="1" t="b">
        <v>1</v>
      </c>
      <c r="J6" s="1"/>
      <c r="K6" s="1"/>
      <c r="L6" s="3" t="s">
        <v>61</v>
      </c>
      <c r="M6" s="1" t="s">
        <v>64</v>
      </c>
      <c r="N6" s="3" t="s">
        <v>65</v>
      </c>
      <c r="O6" s="3" t="s">
        <v>66</v>
      </c>
      <c r="P6" s="1" t="s">
        <v>129</v>
      </c>
      <c r="Q6" s="1" t="b">
        <v>1</v>
      </c>
      <c r="R6" s="1" t="s">
        <v>130</v>
      </c>
      <c r="S6" s="3" t="s">
        <v>68</v>
      </c>
      <c r="T6" s="3" t="s">
        <v>131</v>
      </c>
      <c r="U6" s="3" t="s">
        <v>70</v>
      </c>
      <c r="V6" s="3" t="s">
        <v>98</v>
      </c>
      <c r="W6" s="1">
        <v>133.0</v>
      </c>
      <c r="X6" s="7"/>
      <c r="Y6" s="7"/>
      <c r="Z6" s="3" t="s">
        <v>132</v>
      </c>
      <c r="AA6" s="1" t="s">
        <v>134</v>
      </c>
      <c r="AB6" s="1">
        <v>14.0</v>
      </c>
      <c r="AC6" s="7"/>
      <c r="AD6" s="7"/>
    </row>
    <row r="7">
      <c r="A7" s="1">
        <v>2.0200813E7</v>
      </c>
      <c r="B7" s="1" t="s">
        <v>58</v>
      </c>
      <c r="C7" s="3" t="s">
        <v>59</v>
      </c>
      <c r="D7" s="3" t="s">
        <v>15</v>
      </c>
      <c r="E7" s="3" t="s">
        <v>294</v>
      </c>
      <c r="F7" s="1" t="s">
        <v>295</v>
      </c>
      <c r="G7" s="7"/>
      <c r="H7" s="1" t="b">
        <v>1</v>
      </c>
      <c r="I7" s="1" t="b">
        <v>1</v>
      </c>
      <c r="J7" s="1"/>
      <c r="K7" s="1"/>
      <c r="L7" s="3" t="s">
        <v>61</v>
      </c>
      <c r="M7" s="1" t="s">
        <v>64</v>
      </c>
      <c r="N7" s="3" t="s">
        <v>65</v>
      </c>
      <c r="O7" s="3" t="s">
        <v>66</v>
      </c>
      <c r="P7" s="1" t="s">
        <v>299</v>
      </c>
      <c r="Q7" s="1" t="b">
        <v>1</v>
      </c>
      <c r="R7" s="1" t="s">
        <v>301</v>
      </c>
      <c r="S7" s="3" t="s">
        <v>68</v>
      </c>
      <c r="T7" s="3" t="s">
        <v>302</v>
      </c>
      <c r="U7" s="3" t="s">
        <v>61</v>
      </c>
      <c r="V7" s="3" t="s">
        <v>303</v>
      </c>
      <c r="W7" s="1">
        <v>38.0</v>
      </c>
      <c r="X7" s="7"/>
      <c r="Y7" s="7"/>
      <c r="Z7" s="3" t="s">
        <v>307</v>
      </c>
      <c r="AA7" s="1" t="s">
        <v>308</v>
      </c>
      <c r="AB7" s="1">
        <v>1503.0</v>
      </c>
      <c r="AC7" s="7"/>
      <c r="AD7" s="7"/>
    </row>
    <row r="8">
      <c r="A8" s="1">
        <v>2.0200814E7</v>
      </c>
      <c r="B8" s="1" t="s">
        <v>58</v>
      </c>
      <c r="C8" s="3" t="s">
        <v>59</v>
      </c>
      <c r="D8" s="3" t="s">
        <v>15</v>
      </c>
      <c r="E8" s="3" t="s">
        <v>294</v>
      </c>
      <c r="F8" s="1" t="s">
        <v>295</v>
      </c>
      <c r="G8" s="7"/>
      <c r="H8" s="1" t="b">
        <v>1</v>
      </c>
      <c r="I8" s="1" t="b">
        <v>1</v>
      </c>
      <c r="J8" s="1"/>
      <c r="K8" s="1"/>
      <c r="L8" s="3" t="s">
        <v>61</v>
      </c>
      <c r="M8" s="1" t="s">
        <v>64</v>
      </c>
      <c r="N8" s="3" t="s">
        <v>65</v>
      </c>
      <c r="O8" s="3" t="s">
        <v>66</v>
      </c>
      <c r="P8" s="1" t="s">
        <v>312</v>
      </c>
      <c r="Q8" s="1" t="b">
        <v>1</v>
      </c>
      <c r="R8" s="1" t="s">
        <v>301</v>
      </c>
      <c r="S8" s="3" t="s">
        <v>68</v>
      </c>
      <c r="T8" s="3" t="s">
        <v>314</v>
      </c>
      <c r="U8" s="3" t="s">
        <v>61</v>
      </c>
      <c r="V8" s="3" t="s">
        <v>303</v>
      </c>
      <c r="W8" s="1">
        <v>66.0</v>
      </c>
      <c r="X8" s="7"/>
      <c r="Y8" s="7"/>
      <c r="Z8" s="3" t="s">
        <v>307</v>
      </c>
      <c r="AA8" s="1" t="s">
        <v>318</v>
      </c>
      <c r="AB8" s="1">
        <v>1504.0</v>
      </c>
      <c r="AC8" s="7"/>
      <c r="AD8" s="7"/>
    </row>
    <row r="9">
      <c r="A9" s="1">
        <v>2.0210732E7</v>
      </c>
      <c r="B9" s="1" t="s">
        <v>58</v>
      </c>
      <c r="C9" s="3" t="s">
        <v>59</v>
      </c>
      <c r="D9" s="3" t="s">
        <v>17</v>
      </c>
      <c r="E9" s="3" t="s">
        <v>151</v>
      </c>
      <c r="F9" s="1" t="s">
        <v>152</v>
      </c>
      <c r="G9" s="3" t="s">
        <v>153</v>
      </c>
      <c r="H9" s="1" t="b">
        <v>1</v>
      </c>
      <c r="I9" s="1" t="b">
        <v>1</v>
      </c>
      <c r="J9" s="1"/>
      <c r="K9" s="1"/>
      <c r="L9" s="3" t="s">
        <v>61</v>
      </c>
      <c r="M9" s="1" t="s">
        <v>64</v>
      </c>
      <c r="N9" s="3" t="s">
        <v>65</v>
      </c>
      <c r="O9" s="3" t="s">
        <v>66</v>
      </c>
      <c r="P9" s="1" t="s">
        <v>155</v>
      </c>
      <c r="Q9" s="1" t="b">
        <v>1</v>
      </c>
      <c r="R9" s="1" t="s">
        <v>156</v>
      </c>
      <c r="S9" s="3" t="s">
        <v>96</v>
      </c>
      <c r="T9" s="3" t="s">
        <v>157</v>
      </c>
      <c r="U9" s="3" t="s">
        <v>70</v>
      </c>
      <c r="V9" s="3" t="s">
        <v>98</v>
      </c>
      <c r="W9" s="1">
        <v>180.0</v>
      </c>
      <c r="X9" s="7"/>
      <c r="Y9" s="7"/>
      <c r="Z9" s="3" t="s">
        <v>100</v>
      </c>
      <c r="AA9" s="1" t="s">
        <v>159</v>
      </c>
      <c r="AB9" s="1">
        <v>305.0</v>
      </c>
      <c r="AC9" s="7"/>
      <c r="AD9" s="7"/>
    </row>
    <row r="10">
      <c r="A10" s="1">
        <v>2.0210746E7</v>
      </c>
      <c r="B10" s="1" t="s">
        <v>58</v>
      </c>
      <c r="C10" s="3" t="s">
        <v>59</v>
      </c>
      <c r="D10" s="3" t="s">
        <v>20</v>
      </c>
      <c r="E10" s="3" t="s">
        <v>162</v>
      </c>
      <c r="F10" s="1" t="s">
        <v>163</v>
      </c>
      <c r="G10" s="3" t="s">
        <v>164</v>
      </c>
      <c r="H10" s="1" t="b">
        <v>1</v>
      </c>
      <c r="I10" s="1" t="b">
        <v>1</v>
      </c>
      <c r="J10" s="1"/>
      <c r="K10" s="1"/>
      <c r="L10" s="3" t="s">
        <v>61</v>
      </c>
      <c r="M10" s="1" t="s">
        <v>64</v>
      </c>
      <c r="N10" s="3" t="s">
        <v>65</v>
      </c>
      <c r="O10" s="3" t="s">
        <v>66</v>
      </c>
      <c r="P10" s="1" t="s">
        <v>166</v>
      </c>
      <c r="Q10" s="1" t="b">
        <v>1</v>
      </c>
      <c r="R10" s="1" t="s">
        <v>167</v>
      </c>
      <c r="S10" s="3" t="s">
        <v>96</v>
      </c>
      <c r="T10" s="3" t="s">
        <v>168</v>
      </c>
      <c r="U10" s="3" t="s">
        <v>70</v>
      </c>
      <c r="V10" s="3" t="s">
        <v>98</v>
      </c>
      <c r="W10" s="1">
        <v>24.0</v>
      </c>
      <c r="X10" s="7"/>
      <c r="Y10" s="7"/>
      <c r="Z10" s="3" t="s">
        <v>169</v>
      </c>
      <c r="AA10" s="1" t="s">
        <v>170</v>
      </c>
      <c r="AB10" s="1">
        <v>203.0</v>
      </c>
      <c r="AC10" s="7"/>
      <c r="AD10" s="7"/>
    </row>
    <row r="11">
      <c r="A11" s="1">
        <v>2.0220304E7</v>
      </c>
      <c r="B11" s="1" t="s">
        <v>58</v>
      </c>
      <c r="C11" s="3" t="s">
        <v>59</v>
      </c>
      <c r="D11" s="3" t="s">
        <v>22</v>
      </c>
      <c r="E11" s="3" t="s">
        <v>180</v>
      </c>
      <c r="F11" s="1" t="s">
        <v>181</v>
      </c>
      <c r="G11" s="3" t="s">
        <v>182</v>
      </c>
      <c r="H11" s="1" t="b">
        <v>1</v>
      </c>
      <c r="I11" s="1" t="b">
        <v>1</v>
      </c>
      <c r="J11" s="1"/>
      <c r="K11" s="1"/>
      <c r="L11" s="3" t="s">
        <v>61</v>
      </c>
      <c r="M11" s="1" t="s">
        <v>64</v>
      </c>
      <c r="N11" s="3" t="s">
        <v>65</v>
      </c>
      <c r="O11" s="3" t="s">
        <v>66</v>
      </c>
      <c r="P11" s="6">
        <v>45813.0</v>
      </c>
      <c r="Q11" s="1" t="b">
        <v>1</v>
      </c>
      <c r="R11" s="1" t="s">
        <v>183</v>
      </c>
      <c r="S11" s="3" t="s">
        <v>96</v>
      </c>
      <c r="T11" s="3" t="s">
        <v>185</v>
      </c>
      <c r="U11" s="3" t="s">
        <v>70</v>
      </c>
      <c r="V11" s="3" t="s">
        <v>98</v>
      </c>
      <c r="W11" s="1">
        <v>90.0</v>
      </c>
      <c r="X11" s="7"/>
      <c r="Y11" s="7"/>
      <c r="Z11" s="3" t="s">
        <v>186</v>
      </c>
      <c r="AA11" s="1" t="s">
        <v>187</v>
      </c>
      <c r="AB11" s="1">
        <v>3.0</v>
      </c>
      <c r="AC11" s="7"/>
      <c r="AD11" s="7"/>
    </row>
    <row r="12">
      <c r="A12" s="1">
        <v>2.0230313E7</v>
      </c>
      <c r="B12" s="1" t="s">
        <v>58</v>
      </c>
      <c r="C12" s="3" t="s">
        <v>59</v>
      </c>
      <c r="D12" s="3" t="s">
        <v>23</v>
      </c>
      <c r="E12" s="3" t="s">
        <v>221</v>
      </c>
      <c r="F12" s="1" t="s">
        <v>222</v>
      </c>
      <c r="G12" s="7"/>
      <c r="H12" s="1" t="b">
        <v>1</v>
      </c>
      <c r="I12" s="1" t="b">
        <v>1</v>
      </c>
      <c r="J12" s="1"/>
      <c r="K12" s="1"/>
      <c r="L12" s="3" t="s">
        <v>61</v>
      </c>
      <c r="M12" s="1" t="s">
        <v>64</v>
      </c>
      <c r="N12" s="3" t="s">
        <v>223</v>
      </c>
      <c r="O12" s="3" t="s">
        <v>224</v>
      </c>
      <c r="P12" s="1" t="s">
        <v>225</v>
      </c>
      <c r="Q12" s="1" t="b">
        <v>1</v>
      </c>
      <c r="R12" s="1" t="s">
        <v>226</v>
      </c>
      <c r="S12" s="3" t="s">
        <v>96</v>
      </c>
      <c r="T12" s="3" t="s">
        <v>227</v>
      </c>
      <c r="U12" s="3" t="s">
        <v>70</v>
      </c>
      <c r="V12" s="3" t="s">
        <v>71</v>
      </c>
      <c r="W12" s="1">
        <v>16.0</v>
      </c>
      <c r="X12" s="7"/>
      <c r="Y12" s="7"/>
      <c r="Z12" s="3" t="s">
        <v>228</v>
      </c>
      <c r="AA12" s="1" t="s">
        <v>222</v>
      </c>
      <c r="AB12" s="1">
        <v>396.0</v>
      </c>
      <c r="AC12" s="7"/>
      <c r="AD12" s="7"/>
    </row>
    <row r="13">
      <c r="A13" s="1">
        <v>2.0230593E7</v>
      </c>
      <c r="B13" s="1" t="s">
        <v>58</v>
      </c>
      <c r="C13" s="3" t="s">
        <v>59</v>
      </c>
      <c r="D13" s="3" t="s">
        <v>24</v>
      </c>
      <c r="E13" s="3" t="s">
        <v>230</v>
      </c>
      <c r="F13" s="1" t="s">
        <v>231</v>
      </c>
      <c r="G13" s="7"/>
      <c r="H13" s="1" t="b">
        <v>1</v>
      </c>
      <c r="I13" s="1" t="b">
        <v>1</v>
      </c>
      <c r="J13" s="1"/>
      <c r="K13" s="1"/>
      <c r="L13" s="3" t="s">
        <v>61</v>
      </c>
      <c r="M13" s="1" t="s">
        <v>64</v>
      </c>
      <c r="N13" s="3" t="s">
        <v>223</v>
      </c>
      <c r="O13" s="3" t="s">
        <v>224</v>
      </c>
      <c r="P13" s="1" t="s">
        <v>232</v>
      </c>
      <c r="Q13" s="1" t="b">
        <v>1</v>
      </c>
      <c r="R13" s="6">
        <v>45993.0</v>
      </c>
      <c r="S13" s="3" t="s">
        <v>96</v>
      </c>
      <c r="T13" s="3" t="s">
        <v>233</v>
      </c>
      <c r="U13" s="3" t="s">
        <v>61</v>
      </c>
      <c r="V13" s="3" t="s">
        <v>234</v>
      </c>
      <c r="W13" s="7"/>
      <c r="X13" s="7"/>
      <c r="Y13" s="7"/>
      <c r="Z13" s="3" t="s">
        <v>235</v>
      </c>
      <c r="AA13" s="1" t="s">
        <v>231</v>
      </c>
      <c r="AB13" s="1">
        <v>1102.0</v>
      </c>
      <c r="AC13" s="7"/>
      <c r="AD13" s="7"/>
    </row>
    <row r="14">
      <c r="A14" s="1">
        <v>2.0230759E7</v>
      </c>
      <c r="B14" s="1" t="s">
        <v>58</v>
      </c>
      <c r="C14" s="3" t="s">
        <v>59</v>
      </c>
      <c r="D14" s="3" t="s">
        <v>25</v>
      </c>
      <c r="E14" s="3" t="s">
        <v>237</v>
      </c>
      <c r="F14" s="1" t="s">
        <v>238</v>
      </c>
      <c r="G14" s="3" t="s">
        <v>239</v>
      </c>
      <c r="H14" s="1" t="b">
        <v>1</v>
      </c>
      <c r="I14" s="1" t="b">
        <v>1</v>
      </c>
      <c r="J14" s="1"/>
      <c r="K14" s="1"/>
      <c r="L14" s="3" t="s">
        <v>61</v>
      </c>
      <c r="M14" s="1" t="s">
        <v>64</v>
      </c>
      <c r="N14" s="3" t="s">
        <v>65</v>
      </c>
      <c r="O14" s="3" t="s">
        <v>66</v>
      </c>
      <c r="P14" s="1" t="s">
        <v>240</v>
      </c>
      <c r="Q14" s="1" t="b">
        <v>1</v>
      </c>
      <c r="R14" s="10">
        <v>45211.0</v>
      </c>
      <c r="S14" s="3" t="s">
        <v>96</v>
      </c>
      <c r="T14" s="3" t="s">
        <v>241</v>
      </c>
      <c r="U14" s="3" t="s">
        <v>70</v>
      </c>
      <c r="V14" s="3" t="s">
        <v>98</v>
      </c>
      <c r="W14" s="1">
        <v>102.0</v>
      </c>
      <c r="X14" s="7"/>
      <c r="Y14" s="7"/>
      <c r="Z14" s="3" t="s">
        <v>242</v>
      </c>
      <c r="AA14" s="1" t="s">
        <v>243</v>
      </c>
      <c r="AB14" s="1">
        <v>108.0</v>
      </c>
      <c r="AC14" s="7"/>
      <c r="AD14" s="7"/>
    </row>
    <row r="15">
      <c r="A15" s="1">
        <v>2.0250262E7</v>
      </c>
      <c r="B15" s="1" t="s">
        <v>58</v>
      </c>
      <c r="C15" s="3" t="s">
        <v>59</v>
      </c>
      <c r="D15" s="3" t="s">
        <v>27</v>
      </c>
      <c r="E15" s="3" t="s">
        <v>321</v>
      </c>
      <c r="F15" s="1" t="s">
        <v>322</v>
      </c>
      <c r="G15" s="3" t="s">
        <v>323</v>
      </c>
      <c r="H15" s="1" t="b">
        <v>1</v>
      </c>
      <c r="I15" s="1" t="b">
        <v>1</v>
      </c>
      <c r="J15" s="1"/>
      <c r="K15" s="1"/>
      <c r="L15" s="3" t="s">
        <v>61</v>
      </c>
      <c r="M15" s="1" t="s">
        <v>64</v>
      </c>
      <c r="N15" s="3" t="s">
        <v>68</v>
      </c>
      <c r="O15" s="3" t="s">
        <v>223</v>
      </c>
      <c r="P15" s="6">
        <v>46329.0</v>
      </c>
      <c r="Q15" s="1" t="b">
        <v>1</v>
      </c>
      <c r="R15" s="6">
        <v>45875.0</v>
      </c>
      <c r="S15" s="3" t="s">
        <v>68</v>
      </c>
      <c r="T15" s="3" t="s">
        <v>324</v>
      </c>
      <c r="U15" s="3" t="s">
        <v>70</v>
      </c>
      <c r="V15" s="3" t="s">
        <v>98</v>
      </c>
      <c r="W15" s="1">
        <v>90.0</v>
      </c>
      <c r="X15" s="7"/>
      <c r="Y15" s="7"/>
      <c r="Z15" s="3" t="s">
        <v>169</v>
      </c>
      <c r="AA15" s="1" t="s">
        <v>325</v>
      </c>
      <c r="AB15" s="1">
        <v>13.0</v>
      </c>
      <c r="AC15" s="7"/>
      <c r="AD15" s="7"/>
    </row>
    <row r="16">
      <c r="A16" s="1">
        <v>2.0250266E7</v>
      </c>
      <c r="B16" s="1" t="s">
        <v>58</v>
      </c>
      <c r="C16" s="3" t="s">
        <v>59</v>
      </c>
      <c r="D16" s="3" t="s">
        <v>29</v>
      </c>
      <c r="E16" s="3" t="s">
        <v>327</v>
      </c>
      <c r="F16" s="1" t="s">
        <v>328</v>
      </c>
      <c r="G16" s="3" t="s">
        <v>329</v>
      </c>
      <c r="H16" s="1" t="b">
        <v>1</v>
      </c>
      <c r="I16" s="1" t="b">
        <v>1</v>
      </c>
      <c r="J16" s="1"/>
      <c r="K16" s="1"/>
      <c r="L16" s="3" t="s">
        <v>61</v>
      </c>
      <c r="M16" s="1" t="s">
        <v>64</v>
      </c>
      <c r="N16" s="3" t="s">
        <v>223</v>
      </c>
      <c r="O16" s="3" t="s">
        <v>224</v>
      </c>
      <c r="P16" s="6">
        <v>46271.0</v>
      </c>
      <c r="Q16" s="1" t="b">
        <v>1</v>
      </c>
      <c r="R16" s="6">
        <v>45875.0</v>
      </c>
      <c r="S16" s="3" t="s">
        <v>68</v>
      </c>
      <c r="T16" s="3" t="s">
        <v>270</v>
      </c>
      <c r="U16" s="3" t="s">
        <v>70</v>
      </c>
      <c r="V16" s="3" t="s">
        <v>98</v>
      </c>
      <c r="W16" s="1">
        <v>128.0</v>
      </c>
      <c r="X16" s="7"/>
      <c r="Y16" s="7"/>
      <c r="Z16" s="3" t="s">
        <v>330</v>
      </c>
      <c r="AA16" s="1" t="s">
        <v>331</v>
      </c>
      <c r="AB16" s="1">
        <v>120.0</v>
      </c>
      <c r="AC16" s="7"/>
      <c r="AD16" s="7"/>
    </row>
    <row r="17">
      <c r="A17" s="1">
        <v>2.0250351E7</v>
      </c>
      <c r="B17" s="1" t="s">
        <v>344</v>
      </c>
      <c r="C17" s="7"/>
      <c r="D17" s="7"/>
      <c r="E17" s="7"/>
      <c r="F17" s="7"/>
      <c r="G17" s="7"/>
      <c r="H17" s="1" t="b">
        <v>1</v>
      </c>
      <c r="I17" s="1" t="b">
        <v>0</v>
      </c>
      <c r="J17" s="3" t="s">
        <v>356</v>
      </c>
      <c r="K17" s="1"/>
      <c r="L17" s="7"/>
      <c r="M17" s="7"/>
      <c r="N17" s="7"/>
      <c r="O17" s="3" t="s">
        <v>224</v>
      </c>
      <c r="P17" s="1" t="s">
        <v>357</v>
      </c>
      <c r="Q17" s="1" t="b">
        <v>1</v>
      </c>
      <c r="R17" s="1" t="s">
        <v>336</v>
      </c>
      <c r="S17" s="3" t="s">
        <v>68</v>
      </c>
      <c r="T17" s="3" t="s">
        <v>358</v>
      </c>
      <c r="U17" s="3" t="s">
        <v>61</v>
      </c>
      <c r="V17" s="3" t="s">
        <v>303</v>
      </c>
      <c r="W17" s="7"/>
      <c r="X17" s="7"/>
      <c r="Y17" s="7"/>
      <c r="Z17" s="3" t="s">
        <v>360</v>
      </c>
      <c r="AA17" s="1" t="s">
        <v>363</v>
      </c>
      <c r="AB17" s="1">
        <v>936.0</v>
      </c>
      <c r="AC17" s="7"/>
      <c r="AD17" s="7"/>
    </row>
    <row r="18">
      <c r="A18" s="1">
        <v>2.0250352E7</v>
      </c>
      <c r="B18" s="1" t="s">
        <v>344</v>
      </c>
      <c r="C18" s="7"/>
      <c r="D18" s="7"/>
      <c r="E18" s="7"/>
      <c r="F18" s="7"/>
      <c r="G18" s="7"/>
      <c r="H18" s="1" t="b">
        <v>1</v>
      </c>
      <c r="I18" s="1" t="b">
        <v>0</v>
      </c>
      <c r="J18" s="3" t="s">
        <v>356</v>
      </c>
      <c r="K18" s="1"/>
      <c r="L18" s="7"/>
      <c r="M18" s="7"/>
      <c r="N18" s="7"/>
      <c r="O18" s="3" t="s">
        <v>223</v>
      </c>
      <c r="P18" s="1" t="s">
        <v>365</v>
      </c>
      <c r="Q18" s="1" t="b">
        <v>1</v>
      </c>
      <c r="R18" s="1" t="s">
        <v>336</v>
      </c>
      <c r="S18" s="3" t="s">
        <v>68</v>
      </c>
      <c r="T18" s="3" t="s">
        <v>368</v>
      </c>
      <c r="U18" s="3" t="s">
        <v>61</v>
      </c>
      <c r="V18" s="3" t="s">
        <v>303</v>
      </c>
      <c r="W18" s="7"/>
      <c r="X18" s="7"/>
      <c r="Y18" s="7"/>
      <c r="Z18" s="3" t="s">
        <v>360</v>
      </c>
      <c r="AA18" s="1" t="s">
        <v>370</v>
      </c>
      <c r="AB18" s="1" t="s">
        <v>371</v>
      </c>
      <c r="AC18" s="7"/>
      <c r="AD18" s="7"/>
    </row>
    <row r="19">
      <c r="A19" s="1">
        <v>2.0250353E7</v>
      </c>
      <c r="B19" s="1" t="s">
        <v>344</v>
      </c>
      <c r="C19" s="7"/>
      <c r="D19" s="7"/>
      <c r="E19" s="7"/>
      <c r="F19" s="7"/>
      <c r="G19" s="7"/>
      <c r="H19" s="1" t="b">
        <v>1</v>
      </c>
      <c r="I19" s="1" t="b">
        <v>0</v>
      </c>
      <c r="J19" s="3" t="s">
        <v>356</v>
      </c>
      <c r="K19" s="1"/>
      <c r="L19" s="7"/>
      <c r="M19" s="7"/>
      <c r="N19" s="7"/>
      <c r="O19" s="3" t="s">
        <v>223</v>
      </c>
      <c r="P19" s="1" t="s">
        <v>376</v>
      </c>
      <c r="Q19" s="1" t="b">
        <v>1</v>
      </c>
      <c r="R19" s="1" t="s">
        <v>336</v>
      </c>
      <c r="S19" s="3" t="s">
        <v>68</v>
      </c>
      <c r="T19" s="3" t="s">
        <v>377</v>
      </c>
      <c r="U19" s="3" t="s">
        <v>61</v>
      </c>
      <c r="V19" s="3" t="s">
        <v>303</v>
      </c>
      <c r="W19" s="7"/>
      <c r="X19" s="7"/>
      <c r="Y19" s="7"/>
      <c r="Z19" s="3" t="s">
        <v>360</v>
      </c>
      <c r="AA19" s="1" t="s">
        <v>378</v>
      </c>
      <c r="AB19" s="1">
        <v>958.0</v>
      </c>
      <c r="AC19" s="7"/>
      <c r="AD19" s="7"/>
    </row>
    <row r="20">
      <c r="A20" s="1">
        <v>2.0250376E7</v>
      </c>
      <c r="B20" s="1" t="s">
        <v>344</v>
      </c>
      <c r="C20" s="7"/>
      <c r="D20" s="7"/>
      <c r="E20" s="7"/>
      <c r="F20" s="7"/>
      <c r="G20" s="7"/>
      <c r="H20" s="1" t="b">
        <v>1</v>
      </c>
      <c r="I20" s="1" t="b">
        <v>0</v>
      </c>
      <c r="J20" s="3" t="s">
        <v>380</v>
      </c>
      <c r="K20" s="1"/>
      <c r="L20" s="7"/>
      <c r="M20" s="7"/>
      <c r="N20" s="7"/>
      <c r="O20" s="7"/>
      <c r="P20" s="7"/>
      <c r="Q20" s="1" t="b">
        <v>1</v>
      </c>
      <c r="R20" s="6">
        <v>45785.0</v>
      </c>
      <c r="S20" s="3" t="s">
        <v>68</v>
      </c>
      <c r="T20" s="3" t="s">
        <v>345</v>
      </c>
      <c r="U20" s="3" t="s">
        <v>61</v>
      </c>
      <c r="V20" s="3" t="s">
        <v>346</v>
      </c>
      <c r="W20" s="1">
        <v>93.0</v>
      </c>
      <c r="X20" s="7"/>
      <c r="Y20" s="7"/>
      <c r="Z20" s="3" t="s">
        <v>347</v>
      </c>
      <c r="AA20" s="1" t="s">
        <v>348</v>
      </c>
      <c r="AB20" s="1">
        <v>23.0</v>
      </c>
      <c r="AC20" s="7"/>
      <c r="AD20" s="7"/>
    </row>
    <row r="21">
      <c r="A21" s="1">
        <v>2.0250397E7</v>
      </c>
      <c r="B21" s="1" t="s">
        <v>344</v>
      </c>
      <c r="C21" s="7"/>
      <c r="D21" s="7"/>
      <c r="E21" s="7"/>
      <c r="F21" s="7"/>
      <c r="G21" s="7"/>
      <c r="H21" s="1" t="b">
        <v>1</v>
      </c>
      <c r="I21" s="1" t="b">
        <v>0</v>
      </c>
      <c r="J21" s="3" t="s">
        <v>385</v>
      </c>
      <c r="K21" s="1"/>
      <c r="L21" s="7"/>
      <c r="M21" s="7"/>
      <c r="N21" s="7"/>
      <c r="O21" s="3" t="s">
        <v>224</v>
      </c>
      <c r="P21" s="6">
        <v>46147.0</v>
      </c>
      <c r="Q21" s="1" t="b">
        <v>1</v>
      </c>
      <c r="R21" s="1" t="s">
        <v>350</v>
      </c>
      <c r="S21" s="3" t="s">
        <v>68</v>
      </c>
      <c r="T21" s="3" t="s">
        <v>351</v>
      </c>
      <c r="U21" s="3" t="s">
        <v>352</v>
      </c>
      <c r="V21" s="3" t="s">
        <v>218</v>
      </c>
      <c r="W21" s="7"/>
      <c r="X21" s="7"/>
      <c r="Y21" s="7"/>
      <c r="Z21" s="3" t="s">
        <v>353</v>
      </c>
      <c r="AA21" s="1" t="s">
        <v>354</v>
      </c>
      <c r="AB21" s="1">
        <v>273.0</v>
      </c>
      <c r="AC21" s="7"/>
      <c r="AD21" s="7"/>
    </row>
    <row r="22">
      <c r="A22" s="1">
        <v>2.0250401E7</v>
      </c>
      <c r="B22" s="1" t="s">
        <v>344</v>
      </c>
      <c r="C22" s="7"/>
      <c r="D22" s="7"/>
      <c r="E22" s="7"/>
      <c r="F22" s="7"/>
      <c r="G22" s="7"/>
      <c r="H22" s="1" t="b">
        <v>1</v>
      </c>
      <c r="I22" s="1" t="b">
        <v>0</v>
      </c>
      <c r="J22" s="3" t="s">
        <v>356</v>
      </c>
      <c r="K22" s="1"/>
      <c r="L22" s="7"/>
      <c r="M22" s="7"/>
      <c r="N22" s="7"/>
      <c r="O22" s="3" t="s">
        <v>224</v>
      </c>
      <c r="P22" s="1" t="s">
        <v>393</v>
      </c>
      <c r="Q22" s="1" t="b">
        <v>1</v>
      </c>
      <c r="R22" s="1" t="s">
        <v>350</v>
      </c>
      <c r="S22" s="3" t="s">
        <v>68</v>
      </c>
      <c r="T22" s="3" t="s">
        <v>394</v>
      </c>
      <c r="U22" s="3" t="s">
        <v>61</v>
      </c>
      <c r="V22" s="3" t="s">
        <v>303</v>
      </c>
      <c r="W22" s="7"/>
      <c r="X22" s="7"/>
      <c r="Y22" s="7"/>
      <c r="Z22" s="3" t="s">
        <v>360</v>
      </c>
      <c r="AA22" s="1" t="s">
        <v>396</v>
      </c>
      <c r="AB22" s="1">
        <v>306.0</v>
      </c>
      <c r="AC22" s="7"/>
      <c r="AD22" s="7"/>
    </row>
    <row r="23">
      <c r="A23" s="1">
        <v>2.0250409E7</v>
      </c>
      <c r="B23" s="1" t="s">
        <v>344</v>
      </c>
      <c r="C23" s="7"/>
      <c r="D23" s="7"/>
      <c r="E23" s="7"/>
      <c r="F23" s="7"/>
      <c r="G23" s="7"/>
      <c r="H23" s="1" t="b">
        <v>1</v>
      </c>
      <c r="I23" s="1" t="b">
        <v>0</v>
      </c>
      <c r="J23" s="3" t="s">
        <v>385</v>
      </c>
      <c r="K23" s="1"/>
      <c r="L23" s="7"/>
      <c r="M23" s="7"/>
      <c r="N23" s="7"/>
      <c r="O23" s="3" t="s">
        <v>224</v>
      </c>
      <c r="P23" s="6">
        <v>46113.0</v>
      </c>
      <c r="Q23" s="1" t="b">
        <v>1</v>
      </c>
      <c r="R23" s="1" t="s">
        <v>299</v>
      </c>
      <c r="S23" s="3" t="s">
        <v>68</v>
      </c>
      <c r="T23" s="3" t="s">
        <v>359</v>
      </c>
      <c r="U23" s="3" t="s">
        <v>352</v>
      </c>
      <c r="V23" s="3" t="s">
        <v>218</v>
      </c>
      <c r="W23" s="7"/>
      <c r="X23" s="7"/>
      <c r="Y23" s="7"/>
      <c r="Z23" s="3" t="s">
        <v>361</v>
      </c>
      <c r="AA23" s="1" t="s">
        <v>362</v>
      </c>
      <c r="AB23" s="1">
        <v>28.0</v>
      </c>
      <c r="AC23" s="7"/>
      <c r="AD23" s="7"/>
    </row>
    <row r="24">
      <c r="A24" s="1">
        <v>2.0250437E7</v>
      </c>
      <c r="B24" s="1" t="s">
        <v>58</v>
      </c>
      <c r="C24" s="3" t="s">
        <v>59</v>
      </c>
      <c r="D24" s="3" t="s">
        <v>31</v>
      </c>
      <c r="E24" s="3" t="s">
        <v>366</v>
      </c>
      <c r="F24" s="1" t="s">
        <v>367</v>
      </c>
      <c r="G24" s="3" t="s">
        <v>369</v>
      </c>
      <c r="H24" s="1" t="b">
        <v>1</v>
      </c>
      <c r="I24" s="1" t="b">
        <v>1</v>
      </c>
      <c r="J24" s="1"/>
      <c r="K24" s="1"/>
      <c r="L24" s="3" t="s">
        <v>61</v>
      </c>
      <c r="M24" s="1" t="s">
        <v>64</v>
      </c>
      <c r="N24" s="3" t="s">
        <v>68</v>
      </c>
      <c r="O24" s="3" t="s">
        <v>223</v>
      </c>
      <c r="P24" s="6">
        <v>46329.0</v>
      </c>
      <c r="Q24" s="1" t="b">
        <v>1</v>
      </c>
      <c r="R24" s="6">
        <v>45970.0</v>
      </c>
      <c r="S24" s="3" t="s">
        <v>68</v>
      </c>
      <c r="T24" s="3" t="s">
        <v>372</v>
      </c>
      <c r="U24" s="3" t="s">
        <v>70</v>
      </c>
      <c r="V24" s="3" t="s">
        <v>98</v>
      </c>
      <c r="W24" s="7"/>
      <c r="X24" s="7"/>
      <c r="Y24" s="7"/>
      <c r="Z24" s="3" t="s">
        <v>373</v>
      </c>
      <c r="AA24" s="1" t="s">
        <v>374</v>
      </c>
      <c r="AB24" s="1">
        <v>106.0</v>
      </c>
      <c r="AC24" s="7"/>
      <c r="AD24" s="7"/>
    </row>
    <row r="25">
      <c r="A25" s="1">
        <v>2.0250506E7</v>
      </c>
      <c r="B25" s="1" t="s">
        <v>344</v>
      </c>
      <c r="C25" s="7"/>
      <c r="D25" s="7"/>
      <c r="E25" s="7"/>
      <c r="F25" s="7"/>
      <c r="G25" s="7"/>
      <c r="H25" s="1" t="b">
        <v>1</v>
      </c>
      <c r="I25" s="1" t="b">
        <v>0</v>
      </c>
      <c r="J25" s="3" t="s">
        <v>356</v>
      </c>
      <c r="K25" s="1"/>
      <c r="L25" s="7"/>
      <c r="M25" s="7"/>
      <c r="N25" s="7"/>
      <c r="O25" s="3" t="s">
        <v>223</v>
      </c>
      <c r="P25" s="1" t="s">
        <v>406</v>
      </c>
      <c r="Q25" s="1" t="b">
        <v>1</v>
      </c>
      <c r="R25" s="1" t="s">
        <v>407</v>
      </c>
      <c r="S25" s="3" t="s">
        <v>68</v>
      </c>
      <c r="T25" s="3" t="s">
        <v>408</v>
      </c>
      <c r="U25" s="3" t="s">
        <v>61</v>
      </c>
      <c r="V25" s="3" t="s">
        <v>303</v>
      </c>
      <c r="W25" s="7"/>
      <c r="X25" s="7"/>
      <c r="Y25" s="7"/>
      <c r="Z25" s="3" t="s">
        <v>360</v>
      </c>
      <c r="AA25" s="1" t="s">
        <v>411</v>
      </c>
      <c r="AB25" s="1">
        <v>33.0</v>
      </c>
      <c r="AC25" s="7"/>
      <c r="AD25" s="7"/>
    </row>
    <row r="26">
      <c r="A26" s="1">
        <v>2.0250524E7</v>
      </c>
      <c r="B26" s="1" t="s">
        <v>344</v>
      </c>
      <c r="C26" s="7"/>
      <c r="D26" s="7"/>
      <c r="E26" s="7"/>
      <c r="F26" s="7"/>
      <c r="G26" s="7"/>
      <c r="H26" s="1" t="b">
        <v>1</v>
      </c>
      <c r="I26" s="1" t="b">
        <v>0</v>
      </c>
      <c r="J26" s="3" t="s">
        <v>356</v>
      </c>
      <c r="K26" s="1"/>
      <c r="L26" s="7"/>
      <c r="M26" s="7"/>
      <c r="N26" s="7"/>
      <c r="O26" s="7"/>
      <c r="P26" s="7"/>
      <c r="Q26" s="1" t="b">
        <v>1</v>
      </c>
      <c r="R26" s="6">
        <v>45699.0</v>
      </c>
      <c r="S26" s="3" t="s">
        <v>68</v>
      </c>
      <c r="T26" s="3" t="s">
        <v>415</v>
      </c>
      <c r="U26" s="3" t="s">
        <v>61</v>
      </c>
      <c r="V26" s="3" t="s">
        <v>303</v>
      </c>
      <c r="W26" s="7"/>
      <c r="X26" s="7"/>
      <c r="Y26" s="7"/>
      <c r="Z26" s="3" t="s">
        <v>360</v>
      </c>
      <c r="AA26" s="8" t="s">
        <v>417</v>
      </c>
      <c r="AB26" s="1">
        <v>406.0</v>
      </c>
      <c r="AC26" s="7"/>
      <c r="AD26" s="7"/>
    </row>
    <row r="27">
      <c r="A27" s="1">
        <v>2.0250562E7</v>
      </c>
      <c r="B27" s="1" t="s">
        <v>344</v>
      </c>
      <c r="C27" s="7"/>
      <c r="D27" s="7"/>
      <c r="E27" s="7"/>
      <c r="F27" s="7"/>
      <c r="G27" s="7"/>
      <c r="H27" s="1" t="b">
        <v>1</v>
      </c>
      <c r="I27" s="1" t="b">
        <v>0</v>
      </c>
      <c r="J27" s="3" t="s">
        <v>356</v>
      </c>
      <c r="K27" s="1"/>
      <c r="L27" s="7"/>
      <c r="M27" s="7"/>
      <c r="N27" s="7"/>
      <c r="O27" s="3" t="s">
        <v>223</v>
      </c>
      <c r="P27" s="6">
        <v>46357.0</v>
      </c>
      <c r="Q27" s="1" t="b">
        <v>1</v>
      </c>
      <c r="R27" s="1" t="s">
        <v>422</v>
      </c>
      <c r="S27" s="3" t="s">
        <v>68</v>
      </c>
      <c r="T27" s="3" t="s">
        <v>424</v>
      </c>
      <c r="U27" s="3" t="s">
        <v>61</v>
      </c>
      <c r="V27" s="3" t="s">
        <v>303</v>
      </c>
      <c r="W27" s="7"/>
      <c r="X27" s="7"/>
      <c r="Y27" s="7"/>
      <c r="Z27" s="3" t="s">
        <v>360</v>
      </c>
      <c r="AA27" s="1" t="s">
        <v>425</v>
      </c>
      <c r="AB27" s="1">
        <v>32.0</v>
      </c>
      <c r="AC27" s="7"/>
      <c r="AD27" s="7"/>
    </row>
    <row r="28">
      <c r="A28" s="1">
        <v>2.0250563E7</v>
      </c>
      <c r="B28" s="1" t="s">
        <v>344</v>
      </c>
      <c r="C28" s="7"/>
      <c r="D28" s="7"/>
      <c r="E28" s="7"/>
      <c r="F28" s="7"/>
      <c r="G28" s="7"/>
      <c r="H28" s="1" t="b">
        <v>1</v>
      </c>
      <c r="I28" s="1" t="b">
        <v>0</v>
      </c>
      <c r="J28" s="3" t="s">
        <v>356</v>
      </c>
      <c r="K28" s="1"/>
      <c r="L28" s="7"/>
      <c r="M28" s="7"/>
      <c r="N28" s="7"/>
      <c r="O28" s="3" t="s">
        <v>223</v>
      </c>
      <c r="P28" s="6">
        <v>46357.0</v>
      </c>
      <c r="Q28" s="1" t="b">
        <v>1</v>
      </c>
      <c r="R28" s="1" t="s">
        <v>422</v>
      </c>
      <c r="S28" s="3" t="s">
        <v>68</v>
      </c>
      <c r="T28" s="3" t="s">
        <v>428</v>
      </c>
      <c r="U28" s="3" t="s">
        <v>61</v>
      </c>
      <c r="V28" s="3" t="s">
        <v>303</v>
      </c>
      <c r="W28" s="7"/>
      <c r="X28" s="7"/>
      <c r="Y28" s="7"/>
      <c r="Z28" s="3" t="s">
        <v>360</v>
      </c>
      <c r="AA28" s="1" t="s">
        <v>431</v>
      </c>
      <c r="AB28" s="1">
        <v>36.0</v>
      </c>
      <c r="AC28" s="7"/>
      <c r="AD28" s="7"/>
    </row>
    <row r="29">
      <c r="A29" s="1">
        <v>2.0250609E7</v>
      </c>
      <c r="B29" s="1" t="s">
        <v>344</v>
      </c>
      <c r="C29" s="7"/>
      <c r="D29" s="7"/>
      <c r="E29" s="7"/>
      <c r="F29" s="7"/>
      <c r="G29" s="7"/>
      <c r="H29" s="1" t="b">
        <v>1</v>
      </c>
      <c r="I29" s="1" t="b">
        <v>0</v>
      </c>
      <c r="J29" s="3" t="s">
        <v>385</v>
      </c>
      <c r="K29" s="1"/>
      <c r="L29" s="7"/>
      <c r="M29" s="7"/>
      <c r="N29" s="7"/>
      <c r="O29" s="7"/>
      <c r="P29" s="7"/>
      <c r="Q29" s="1" t="b">
        <v>1</v>
      </c>
      <c r="R29" s="1" t="s">
        <v>395</v>
      </c>
      <c r="S29" s="3" t="s">
        <v>96</v>
      </c>
      <c r="T29" s="3" t="s">
        <v>397</v>
      </c>
      <c r="U29" s="3" t="s">
        <v>352</v>
      </c>
      <c r="V29" s="3" t="s">
        <v>218</v>
      </c>
      <c r="W29" s="7"/>
      <c r="X29" s="7"/>
      <c r="Y29" s="7"/>
      <c r="Z29" s="3" t="s">
        <v>398</v>
      </c>
      <c r="AA29" s="1" t="s">
        <v>399</v>
      </c>
      <c r="AB29" s="1">
        <v>99.0</v>
      </c>
      <c r="AC29" s="7"/>
      <c r="AD29" s="7"/>
    </row>
    <row r="30">
      <c r="A30" s="1">
        <v>2.025061E7</v>
      </c>
      <c r="B30" s="1" t="s">
        <v>344</v>
      </c>
      <c r="C30" s="7"/>
      <c r="D30" s="7"/>
      <c r="E30" s="7"/>
      <c r="F30" s="7"/>
      <c r="G30" s="7"/>
      <c r="H30" s="1" t="b">
        <v>1</v>
      </c>
      <c r="I30" s="1" t="b">
        <v>0</v>
      </c>
      <c r="J30" s="3" t="s">
        <v>385</v>
      </c>
      <c r="K30" s="1"/>
      <c r="L30" s="7"/>
      <c r="M30" s="7"/>
      <c r="N30" s="7"/>
      <c r="O30" s="3" t="s">
        <v>224</v>
      </c>
      <c r="P30" s="1" t="s">
        <v>401</v>
      </c>
      <c r="Q30" s="1" t="b">
        <v>1</v>
      </c>
      <c r="R30" s="1" t="s">
        <v>395</v>
      </c>
      <c r="S30" s="3" t="s">
        <v>68</v>
      </c>
      <c r="T30" s="3" t="s">
        <v>402</v>
      </c>
      <c r="U30" s="3" t="s">
        <v>352</v>
      </c>
      <c r="V30" s="3" t="s">
        <v>218</v>
      </c>
      <c r="W30" s="7"/>
      <c r="X30" s="7"/>
      <c r="Y30" s="7"/>
      <c r="Z30" s="3" t="s">
        <v>403</v>
      </c>
      <c r="AA30" s="1" t="s">
        <v>404</v>
      </c>
      <c r="AB30" s="1">
        <v>168.0</v>
      </c>
      <c r="AC30" s="7"/>
      <c r="AD30" s="7"/>
    </row>
    <row r="31">
      <c r="A31" s="1">
        <v>2.0250614E7</v>
      </c>
      <c r="B31" s="1" t="s">
        <v>344</v>
      </c>
      <c r="C31" s="7"/>
      <c r="D31" s="7"/>
      <c r="E31" s="7"/>
      <c r="F31" s="7"/>
      <c r="G31" s="7"/>
      <c r="H31" s="1" t="b">
        <v>1</v>
      </c>
      <c r="I31" s="1" t="b">
        <v>0</v>
      </c>
      <c r="J31" s="3" t="s">
        <v>385</v>
      </c>
      <c r="K31" s="1"/>
      <c r="L31" s="7"/>
      <c r="M31" s="7"/>
      <c r="N31" s="7"/>
      <c r="O31" s="3" t="s">
        <v>223</v>
      </c>
      <c r="P31" s="6">
        <v>46357.0</v>
      </c>
      <c r="Q31" s="1" t="b">
        <v>1</v>
      </c>
      <c r="R31" s="1" t="s">
        <v>395</v>
      </c>
      <c r="S31" s="3" t="s">
        <v>68</v>
      </c>
      <c r="T31" s="3" t="s">
        <v>409</v>
      </c>
      <c r="U31" s="3" t="s">
        <v>410</v>
      </c>
      <c r="V31" s="3" t="s">
        <v>218</v>
      </c>
      <c r="W31" s="7"/>
      <c r="X31" s="7"/>
      <c r="Y31" s="7"/>
      <c r="Z31" s="3" t="s">
        <v>412</v>
      </c>
      <c r="AA31" s="1" t="s">
        <v>413</v>
      </c>
      <c r="AB31" s="1">
        <v>218.0</v>
      </c>
      <c r="AC31" s="7"/>
      <c r="AD31" s="7"/>
    </row>
    <row r="32">
      <c r="A32" s="1">
        <v>2.0250622E7</v>
      </c>
      <c r="B32" s="1" t="s">
        <v>344</v>
      </c>
      <c r="C32" s="7"/>
      <c r="D32" s="7"/>
      <c r="E32" s="7"/>
      <c r="F32" s="7"/>
      <c r="G32" s="7"/>
      <c r="H32" s="1" t="b">
        <v>1</v>
      </c>
      <c r="I32" s="1" t="b">
        <v>0</v>
      </c>
      <c r="J32" s="3" t="s">
        <v>385</v>
      </c>
      <c r="K32" s="1"/>
      <c r="L32" s="7"/>
      <c r="M32" s="7"/>
      <c r="N32" s="7"/>
      <c r="O32" s="3" t="s">
        <v>223</v>
      </c>
      <c r="P32" s="1" t="s">
        <v>416</v>
      </c>
      <c r="Q32" s="1" t="b">
        <v>1</v>
      </c>
      <c r="R32" s="1" t="s">
        <v>418</v>
      </c>
      <c r="S32" s="3" t="s">
        <v>96</v>
      </c>
      <c r="T32" s="3" t="s">
        <v>419</v>
      </c>
      <c r="U32" s="3" t="s">
        <v>352</v>
      </c>
      <c r="V32" s="3" t="s">
        <v>218</v>
      </c>
      <c r="W32" s="7"/>
      <c r="X32" s="7"/>
      <c r="Y32" s="7"/>
      <c r="Z32" s="3" t="s">
        <v>420</v>
      </c>
      <c r="AA32" s="1" t="s">
        <v>421</v>
      </c>
      <c r="AB32" s="7"/>
      <c r="AC32" s="7"/>
      <c r="AD32" s="7"/>
    </row>
    <row r="33">
      <c r="A33" s="1">
        <v>2.0250624E7</v>
      </c>
      <c r="B33" s="1" t="s">
        <v>344</v>
      </c>
      <c r="C33" s="7"/>
      <c r="D33" s="7"/>
      <c r="E33" s="7"/>
      <c r="F33" s="7"/>
      <c r="G33" s="7"/>
      <c r="H33" s="1" t="b">
        <v>1</v>
      </c>
      <c r="I33" s="1" t="b">
        <v>0</v>
      </c>
      <c r="J33" s="3" t="s">
        <v>385</v>
      </c>
      <c r="K33" s="1"/>
      <c r="L33" s="7"/>
      <c r="M33" s="7"/>
      <c r="N33" s="7"/>
      <c r="O33" s="3" t="s">
        <v>223</v>
      </c>
      <c r="P33" s="6">
        <v>46055.0</v>
      </c>
      <c r="Q33" s="1" t="b">
        <v>1</v>
      </c>
      <c r="R33" s="1" t="s">
        <v>426</v>
      </c>
      <c r="S33" s="3" t="s">
        <v>68</v>
      </c>
      <c r="T33" s="3" t="s">
        <v>427</v>
      </c>
      <c r="U33" s="3" t="s">
        <v>352</v>
      </c>
      <c r="V33" s="3" t="s">
        <v>218</v>
      </c>
      <c r="W33" s="7"/>
      <c r="X33" s="7"/>
      <c r="Y33" s="7"/>
      <c r="Z33" s="3" t="s">
        <v>429</v>
      </c>
      <c r="AA33" s="1" t="s">
        <v>430</v>
      </c>
      <c r="AB33" s="1">
        <v>30.0</v>
      </c>
      <c r="AC33" s="7"/>
      <c r="AD33" s="7"/>
    </row>
    <row r="34">
      <c r="A34" s="1">
        <v>2.025064E7</v>
      </c>
      <c r="B34" s="1" t="s">
        <v>344</v>
      </c>
      <c r="C34" s="7"/>
      <c r="D34" s="7"/>
      <c r="E34" s="7"/>
      <c r="F34" s="7"/>
      <c r="G34" s="7"/>
      <c r="H34" s="1" t="b">
        <v>1</v>
      </c>
      <c r="I34" s="1" t="b">
        <v>0</v>
      </c>
      <c r="J34" s="3" t="s">
        <v>385</v>
      </c>
      <c r="K34" s="1"/>
      <c r="L34" s="7"/>
      <c r="M34" s="7"/>
      <c r="N34" s="7"/>
      <c r="O34" s="3" t="s">
        <v>223</v>
      </c>
      <c r="P34" s="1" t="s">
        <v>433</v>
      </c>
      <c r="Q34" s="1" t="b">
        <v>1</v>
      </c>
      <c r="R34" s="1" t="s">
        <v>312</v>
      </c>
      <c r="S34" s="3" t="s">
        <v>68</v>
      </c>
      <c r="T34" s="3" t="s">
        <v>434</v>
      </c>
      <c r="U34" s="3" t="s">
        <v>410</v>
      </c>
      <c r="V34" s="3" t="s">
        <v>218</v>
      </c>
      <c r="W34" s="7"/>
      <c r="X34" s="7"/>
      <c r="Y34" s="7"/>
      <c r="Z34" s="3" t="s">
        <v>435</v>
      </c>
      <c r="AA34" s="1" t="s">
        <v>436</v>
      </c>
      <c r="AB34" s="1">
        <v>264.0</v>
      </c>
      <c r="AC34" s="7"/>
      <c r="AD34" s="7"/>
    </row>
    <row r="35">
      <c r="A35" s="1">
        <v>2.0260016E7</v>
      </c>
      <c r="B35" s="1" t="s">
        <v>344</v>
      </c>
      <c r="C35" s="7"/>
      <c r="D35" s="7"/>
      <c r="E35" s="7"/>
      <c r="F35" s="7"/>
      <c r="G35" s="7"/>
      <c r="H35" s="1" t="b">
        <v>1</v>
      </c>
      <c r="I35" s="1" t="b">
        <v>0</v>
      </c>
      <c r="J35" s="3" t="s">
        <v>464</v>
      </c>
      <c r="K35" s="3" t="s">
        <v>83</v>
      </c>
      <c r="L35" s="7"/>
      <c r="M35" s="7"/>
      <c r="N35" s="7"/>
      <c r="O35" s="3" t="s">
        <v>223</v>
      </c>
      <c r="P35" s="1" t="s">
        <v>446</v>
      </c>
      <c r="Q35" s="1" t="b">
        <v>1</v>
      </c>
      <c r="R35" s="6">
        <v>46235.0</v>
      </c>
      <c r="S35" s="3" t="s">
        <v>68</v>
      </c>
      <c r="T35" s="3" t="s">
        <v>447</v>
      </c>
      <c r="U35" s="3" t="s">
        <v>352</v>
      </c>
      <c r="V35" s="3" t="s">
        <v>218</v>
      </c>
      <c r="W35" s="1">
        <v>80.0</v>
      </c>
      <c r="X35" s="7"/>
      <c r="Y35" s="7"/>
      <c r="Z35" s="3" t="s">
        <v>448</v>
      </c>
      <c r="AA35" s="1" t="s">
        <v>449</v>
      </c>
      <c r="AB35" s="7"/>
      <c r="AC35" s="7"/>
      <c r="AD35" s="7"/>
    </row>
    <row r="36">
      <c r="A36" s="1">
        <v>2.0260082E7</v>
      </c>
      <c r="B36" s="1" t="s">
        <v>344</v>
      </c>
      <c r="C36" s="7"/>
      <c r="D36" s="7"/>
      <c r="E36" s="7"/>
      <c r="F36" s="7"/>
      <c r="G36" s="7"/>
      <c r="H36" s="1" t="b">
        <v>1</v>
      </c>
      <c r="I36" s="1" t="b">
        <v>0</v>
      </c>
      <c r="J36" s="3" t="s">
        <v>385</v>
      </c>
      <c r="K36" s="1"/>
      <c r="L36" s="7"/>
      <c r="M36" s="7"/>
      <c r="N36" s="7"/>
      <c r="O36" s="3" t="s">
        <v>223</v>
      </c>
      <c r="P36" s="6">
        <v>46331.0</v>
      </c>
      <c r="Q36" s="1" t="b">
        <v>1</v>
      </c>
      <c r="R36" s="6">
        <v>46297.0</v>
      </c>
      <c r="S36" s="3" t="s">
        <v>68</v>
      </c>
      <c r="T36" s="3" t="s">
        <v>459</v>
      </c>
      <c r="U36" s="3" t="s">
        <v>410</v>
      </c>
      <c r="V36" s="3" t="s">
        <v>460</v>
      </c>
      <c r="W36" s="7"/>
      <c r="X36" s="7"/>
      <c r="Y36" s="7"/>
      <c r="Z36" s="3" t="s">
        <v>461</v>
      </c>
      <c r="AA36" s="1" t="s">
        <v>462</v>
      </c>
      <c r="AB36" s="1">
        <v>667.0</v>
      </c>
      <c r="AC36" s="7"/>
      <c r="AD36" s="7"/>
    </row>
    <row r="37">
      <c r="A37" s="1">
        <v>2.0260096E7</v>
      </c>
      <c r="B37" s="1" t="s">
        <v>344</v>
      </c>
      <c r="C37" s="7"/>
      <c r="D37" s="7"/>
      <c r="E37" s="7"/>
      <c r="F37" s="7"/>
      <c r="G37" s="7"/>
      <c r="H37" s="1" t="b">
        <v>1</v>
      </c>
      <c r="I37" s="1" t="b">
        <v>0</v>
      </c>
      <c r="J37" s="3" t="s">
        <v>464</v>
      </c>
      <c r="K37" s="3" t="s">
        <v>85</v>
      </c>
      <c r="L37" s="7"/>
      <c r="M37" s="7"/>
      <c r="N37" s="7"/>
      <c r="O37" s="7"/>
      <c r="P37" s="7"/>
      <c r="Q37" s="1" t="b">
        <v>1</v>
      </c>
      <c r="R37" s="1" t="s">
        <v>470</v>
      </c>
      <c r="S37" s="3" t="s">
        <v>68</v>
      </c>
      <c r="T37" s="3" t="s">
        <v>471</v>
      </c>
      <c r="U37" s="3" t="s">
        <v>61</v>
      </c>
      <c r="V37" s="3" t="s">
        <v>472</v>
      </c>
      <c r="W37" s="7"/>
      <c r="X37" s="7"/>
      <c r="Y37" s="7"/>
      <c r="Z37" s="3" t="s">
        <v>473</v>
      </c>
      <c r="AA37" s="1" t="s">
        <v>474</v>
      </c>
      <c r="AB37" s="1">
        <v>605.0</v>
      </c>
      <c r="AC37" s="7"/>
      <c r="AD37" s="7"/>
    </row>
    <row r="38">
      <c r="A38" s="1">
        <v>2.0260135E7</v>
      </c>
      <c r="B38" s="1" t="s">
        <v>344</v>
      </c>
      <c r="C38" s="7"/>
      <c r="D38" s="7"/>
      <c r="E38" s="7"/>
      <c r="F38" s="7"/>
      <c r="G38" s="7"/>
      <c r="H38" s="1" t="b">
        <v>1</v>
      </c>
      <c r="I38" s="1" t="b">
        <v>0</v>
      </c>
      <c r="J38" s="3" t="s">
        <v>385</v>
      </c>
      <c r="K38" s="1"/>
      <c r="L38" s="7"/>
      <c r="M38" s="7"/>
      <c r="N38" s="7"/>
      <c r="O38" s="3" t="s">
        <v>223</v>
      </c>
      <c r="P38" s="1" t="s">
        <v>476</v>
      </c>
      <c r="Q38" s="1" t="b">
        <v>1</v>
      </c>
      <c r="R38" s="1" t="s">
        <v>225</v>
      </c>
      <c r="S38" s="3" t="s">
        <v>68</v>
      </c>
      <c r="T38" s="3" t="s">
        <v>477</v>
      </c>
      <c r="U38" s="3" t="s">
        <v>352</v>
      </c>
      <c r="V38" s="3" t="s">
        <v>218</v>
      </c>
      <c r="W38" s="7"/>
      <c r="X38" s="7"/>
      <c r="Y38" s="7"/>
      <c r="Z38" s="3" t="s">
        <v>478</v>
      </c>
      <c r="AA38" s="1" t="s">
        <v>479</v>
      </c>
      <c r="AB38" s="1">
        <v>42.0</v>
      </c>
      <c r="AC38" s="7"/>
      <c r="AD38" s="7"/>
    </row>
    <row r="39">
      <c r="A39" s="1">
        <v>2.026018E7</v>
      </c>
      <c r="B39" s="1" t="s">
        <v>344</v>
      </c>
      <c r="C39" s="7"/>
      <c r="D39" s="7"/>
      <c r="E39" s="7"/>
      <c r="F39" s="7"/>
      <c r="G39" s="7"/>
      <c r="H39" s="1" t="b">
        <v>1</v>
      </c>
      <c r="I39" s="1" t="b">
        <v>0</v>
      </c>
      <c r="J39" s="3" t="s">
        <v>385</v>
      </c>
      <c r="K39" s="1"/>
      <c r="L39" s="7"/>
      <c r="M39" s="7"/>
      <c r="N39" s="7"/>
      <c r="O39" s="3" t="s">
        <v>224</v>
      </c>
      <c r="P39" s="1" t="s">
        <v>155</v>
      </c>
      <c r="Q39" s="1" t="b">
        <v>1</v>
      </c>
      <c r="R39" s="1" t="s">
        <v>481</v>
      </c>
      <c r="S39" s="3" t="s">
        <v>68</v>
      </c>
      <c r="T39" s="3" t="s">
        <v>482</v>
      </c>
      <c r="U39" s="3" t="s">
        <v>352</v>
      </c>
      <c r="V39" s="3" t="s">
        <v>218</v>
      </c>
      <c r="W39" s="7"/>
      <c r="X39" s="7"/>
      <c r="Y39" s="7"/>
      <c r="Z39" s="3" t="s">
        <v>483</v>
      </c>
      <c r="AA39" s="1" t="s">
        <v>484</v>
      </c>
      <c r="AB39" s="1">
        <v>29.0</v>
      </c>
      <c r="AC39" s="7"/>
      <c r="AD39" s="7"/>
    </row>
    <row r="40">
      <c r="A40" s="1">
        <v>2.0260223E7</v>
      </c>
      <c r="B40" s="1" t="s">
        <v>344</v>
      </c>
      <c r="C40" s="7"/>
      <c r="D40" s="7"/>
      <c r="E40" s="7"/>
      <c r="F40" s="7"/>
      <c r="G40" s="7"/>
      <c r="H40" s="1" t="b">
        <v>1</v>
      </c>
      <c r="I40" s="1" t="b">
        <v>0</v>
      </c>
      <c r="J40" s="3" t="s">
        <v>385</v>
      </c>
      <c r="K40" s="1"/>
      <c r="L40" s="7"/>
      <c r="M40" s="7"/>
      <c r="N40" s="7"/>
      <c r="O40" s="3" t="s">
        <v>223</v>
      </c>
      <c r="P40" s="6">
        <v>46240.0</v>
      </c>
      <c r="Q40" s="1" t="b">
        <v>1</v>
      </c>
      <c r="R40" s="1" t="s">
        <v>485</v>
      </c>
      <c r="S40" s="3" t="s">
        <v>68</v>
      </c>
      <c r="T40" s="3" t="s">
        <v>486</v>
      </c>
      <c r="U40" s="3" t="s">
        <v>410</v>
      </c>
      <c r="V40" s="3" t="s">
        <v>460</v>
      </c>
      <c r="W40" s="7"/>
      <c r="X40" s="7"/>
      <c r="Y40" s="7"/>
      <c r="Z40" s="3" t="s">
        <v>488</v>
      </c>
      <c r="AA40" s="1" t="s">
        <v>489</v>
      </c>
      <c r="AB40" s="1">
        <v>611.0</v>
      </c>
      <c r="AC40" s="7"/>
      <c r="AD40" s="7"/>
    </row>
    <row r="41">
      <c r="A41" s="1">
        <v>2.0260235E7</v>
      </c>
      <c r="B41" s="1" t="s">
        <v>344</v>
      </c>
      <c r="C41" s="7"/>
      <c r="D41" s="7"/>
      <c r="E41" s="7"/>
      <c r="F41" s="7"/>
      <c r="G41" s="7"/>
      <c r="H41" s="1" t="b">
        <v>1</v>
      </c>
      <c r="I41" s="1" t="b">
        <v>0</v>
      </c>
      <c r="J41" s="3" t="s">
        <v>385</v>
      </c>
      <c r="K41" s="1"/>
      <c r="L41" s="7"/>
      <c r="M41" s="7"/>
      <c r="N41" s="7"/>
      <c r="O41" s="3" t="s">
        <v>223</v>
      </c>
      <c r="P41" s="1" t="s">
        <v>240</v>
      </c>
      <c r="Q41" s="1" t="b">
        <v>1</v>
      </c>
      <c r="R41" s="1" t="s">
        <v>401</v>
      </c>
      <c r="S41" s="3" t="s">
        <v>68</v>
      </c>
      <c r="T41" s="3" t="s">
        <v>493</v>
      </c>
      <c r="U41" s="3" t="s">
        <v>410</v>
      </c>
      <c r="V41" s="3" t="s">
        <v>460</v>
      </c>
      <c r="W41" s="7"/>
      <c r="X41" s="7"/>
      <c r="Y41" s="7"/>
      <c r="Z41" s="3" t="s">
        <v>495</v>
      </c>
      <c r="AA41" s="1" t="s">
        <v>496</v>
      </c>
      <c r="AB41" s="1">
        <v>69.0</v>
      </c>
      <c r="AC41" s="7"/>
      <c r="AD41" s="7"/>
    </row>
    <row r="42">
      <c r="A42" s="1">
        <v>2.0220191E7</v>
      </c>
      <c r="B42" s="1" t="s">
        <v>58</v>
      </c>
      <c r="C42" s="3" t="s">
        <v>59</v>
      </c>
      <c r="D42" s="3" t="s">
        <v>33</v>
      </c>
      <c r="E42" s="3" t="s">
        <v>104</v>
      </c>
      <c r="F42" s="1" t="s">
        <v>105</v>
      </c>
      <c r="G42" s="7"/>
      <c r="H42" s="1" t="b">
        <v>1</v>
      </c>
      <c r="I42" s="1" t="b">
        <v>1</v>
      </c>
      <c r="J42" s="7"/>
      <c r="K42" s="7"/>
      <c r="L42" s="3" t="s">
        <v>61</v>
      </c>
      <c r="M42" s="1" t="s">
        <v>64</v>
      </c>
      <c r="N42" s="3" t="s">
        <v>65</v>
      </c>
      <c r="O42" s="3" t="s">
        <v>66</v>
      </c>
      <c r="P42" s="1" t="s">
        <v>106</v>
      </c>
      <c r="Q42" s="1" t="b">
        <v>1</v>
      </c>
      <c r="R42" s="1" t="s">
        <v>107</v>
      </c>
      <c r="S42" s="3" t="s">
        <v>96</v>
      </c>
      <c r="T42" s="3" t="s">
        <v>108</v>
      </c>
      <c r="U42" s="3" t="s">
        <v>110</v>
      </c>
      <c r="V42" s="3" t="s">
        <v>71</v>
      </c>
      <c r="W42" s="1">
        <v>36.0</v>
      </c>
      <c r="X42" s="7"/>
      <c r="Y42" s="7"/>
      <c r="Z42" s="3" t="s">
        <v>111</v>
      </c>
      <c r="AA42" s="1" t="s">
        <v>112</v>
      </c>
      <c r="AB42" s="1">
        <v>100.0</v>
      </c>
      <c r="AC42" s="1" t="s">
        <v>113</v>
      </c>
      <c r="AD42" s="7"/>
    </row>
    <row r="43">
      <c r="A43" s="1">
        <v>2.0200694E7</v>
      </c>
      <c r="B43" s="1" t="s">
        <v>58</v>
      </c>
      <c r="C43" s="3" t="s">
        <v>59</v>
      </c>
      <c r="D43" s="3" t="s">
        <v>35</v>
      </c>
      <c r="E43" s="3" t="s">
        <v>115</v>
      </c>
      <c r="F43" s="1" t="s">
        <v>116</v>
      </c>
      <c r="G43" s="7"/>
      <c r="H43" s="1" t="b">
        <v>1</v>
      </c>
      <c r="I43" s="1" t="b">
        <v>1</v>
      </c>
      <c r="J43" s="7"/>
      <c r="K43" s="7"/>
      <c r="L43" s="3" t="s">
        <v>61</v>
      </c>
      <c r="M43" s="1" t="s">
        <v>64</v>
      </c>
      <c r="N43" s="3" t="s">
        <v>65</v>
      </c>
      <c r="O43" s="3" t="s">
        <v>66</v>
      </c>
      <c r="P43" s="6">
        <v>46174.0</v>
      </c>
      <c r="Q43" s="1" t="b">
        <v>1</v>
      </c>
      <c r="R43" s="1" t="s">
        <v>117</v>
      </c>
      <c r="S43" s="3" t="s">
        <v>96</v>
      </c>
      <c r="T43" s="3" t="s">
        <v>119</v>
      </c>
      <c r="U43" s="3" t="s">
        <v>110</v>
      </c>
      <c r="V43" s="3" t="s">
        <v>71</v>
      </c>
      <c r="W43" s="1">
        <v>327.0</v>
      </c>
      <c r="X43" s="7"/>
      <c r="Y43" s="7"/>
      <c r="Z43" s="3" t="s">
        <v>120</v>
      </c>
      <c r="AA43" s="1" t="s">
        <v>121</v>
      </c>
      <c r="AB43" s="1">
        <v>1.0</v>
      </c>
      <c r="AC43" s="1" t="s">
        <v>122</v>
      </c>
      <c r="AD43" s="7"/>
    </row>
    <row r="44">
      <c r="A44" s="1">
        <v>2.0210261E7</v>
      </c>
      <c r="B44" s="1" t="s">
        <v>58</v>
      </c>
      <c r="C44" s="3" t="s">
        <v>59</v>
      </c>
      <c r="D44" s="3" t="s">
        <v>37</v>
      </c>
      <c r="E44" s="3" t="s">
        <v>137</v>
      </c>
      <c r="F44" s="1" t="s">
        <v>138</v>
      </c>
      <c r="G44" s="3" t="s">
        <v>139</v>
      </c>
      <c r="H44" s="1" t="b">
        <v>1</v>
      </c>
      <c r="I44" s="1" t="b">
        <v>1</v>
      </c>
      <c r="J44" s="7"/>
      <c r="K44" s="7"/>
      <c r="L44" s="3" t="s">
        <v>61</v>
      </c>
      <c r="M44" s="1" t="s">
        <v>64</v>
      </c>
      <c r="N44" s="3" t="s">
        <v>65</v>
      </c>
      <c r="O44" s="3" t="s">
        <v>66</v>
      </c>
      <c r="P44" s="1" t="s">
        <v>140</v>
      </c>
      <c r="Q44" s="1" t="b">
        <v>1</v>
      </c>
      <c r="R44" s="1" t="s">
        <v>141</v>
      </c>
      <c r="S44" s="3" t="s">
        <v>96</v>
      </c>
      <c r="T44" s="3" t="s">
        <v>142</v>
      </c>
      <c r="U44" s="3" t="s">
        <v>110</v>
      </c>
      <c r="V44" s="3" t="s">
        <v>98</v>
      </c>
      <c r="W44" s="1">
        <v>120.0</v>
      </c>
      <c r="X44" s="7"/>
      <c r="Y44" s="7"/>
      <c r="Z44" s="3" t="s">
        <v>143</v>
      </c>
      <c r="AA44" s="1" t="s">
        <v>144</v>
      </c>
      <c r="AB44" s="1">
        <v>311.0</v>
      </c>
      <c r="AC44" s="1" t="s">
        <v>145</v>
      </c>
      <c r="AD44" s="7"/>
    </row>
    <row r="45">
      <c r="A45" s="1">
        <v>2.0210262E7</v>
      </c>
      <c r="B45" s="1" t="s">
        <v>58</v>
      </c>
      <c r="C45" s="3" t="s">
        <v>59</v>
      </c>
      <c r="D45" s="3" t="s">
        <v>37</v>
      </c>
      <c r="E45" s="3" t="s">
        <v>137</v>
      </c>
      <c r="F45" s="1" t="s">
        <v>138</v>
      </c>
      <c r="G45" s="3" t="s">
        <v>139</v>
      </c>
      <c r="H45" s="1" t="b">
        <v>1</v>
      </c>
      <c r="I45" s="1" t="b">
        <v>1</v>
      </c>
      <c r="J45" s="7"/>
      <c r="K45" s="7"/>
      <c r="L45" s="3" t="s">
        <v>61</v>
      </c>
      <c r="M45" s="1" t="s">
        <v>64</v>
      </c>
      <c r="N45" s="3" t="s">
        <v>65</v>
      </c>
      <c r="O45" s="3" t="s">
        <v>66</v>
      </c>
      <c r="P45" s="6">
        <v>46149.0</v>
      </c>
      <c r="Q45" s="1" t="b">
        <v>1</v>
      </c>
      <c r="R45" s="1" t="s">
        <v>141</v>
      </c>
      <c r="S45" s="3" t="s">
        <v>96</v>
      </c>
      <c r="T45" s="3" t="s">
        <v>146</v>
      </c>
      <c r="U45" s="3" t="s">
        <v>110</v>
      </c>
      <c r="V45" s="3" t="s">
        <v>98</v>
      </c>
      <c r="W45" s="1">
        <v>206.0</v>
      </c>
      <c r="X45" s="7"/>
      <c r="Y45" s="7"/>
      <c r="Z45" s="3" t="s">
        <v>143</v>
      </c>
      <c r="AA45" s="1" t="s">
        <v>147</v>
      </c>
      <c r="AB45" s="1">
        <v>114.0</v>
      </c>
      <c r="AC45" s="1" t="s">
        <v>148</v>
      </c>
      <c r="AD45" s="7"/>
    </row>
    <row r="46">
      <c r="A46" s="1">
        <v>2.0210795E7</v>
      </c>
      <c r="B46" s="1" t="s">
        <v>58</v>
      </c>
      <c r="C46" s="3" t="s">
        <v>59</v>
      </c>
      <c r="D46" s="3" t="s">
        <v>20</v>
      </c>
      <c r="E46" s="3" t="s">
        <v>162</v>
      </c>
      <c r="F46" s="1" t="s">
        <v>163</v>
      </c>
      <c r="G46" s="3" t="s">
        <v>164</v>
      </c>
      <c r="H46" s="1" t="b">
        <v>1</v>
      </c>
      <c r="I46" s="1" t="b">
        <v>1</v>
      </c>
      <c r="J46" s="7"/>
      <c r="K46" s="7"/>
      <c r="L46" s="3" t="s">
        <v>61</v>
      </c>
      <c r="M46" s="1" t="s">
        <v>64</v>
      </c>
      <c r="N46" s="3" t="s">
        <v>65</v>
      </c>
      <c r="O46" s="3" t="s">
        <v>66</v>
      </c>
      <c r="P46" s="6">
        <v>46144.0</v>
      </c>
      <c r="Q46" s="1" t="b">
        <v>1</v>
      </c>
      <c r="R46" s="1" t="s">
        <v>174</v>
      </c>
      <c r="S46" s="3" t="s">
        <v>96</v>
      </c>
      <c r="T46" s="3" t="s">
        <v>175</v>
      </c>
      <c r="U46" s="3" t="s">
        <v>110</v>
      </c>
      <c r="V46" s="3" t="s">
        <v>98</v>
      </c>
      <c r="W46" s="1">
        <v>78.0</v>
      </c>
      <c r="X46" s="7"/>
      <c r="Y46" s="7"/>
      <c r="Z46" s="3" t="s">
        <v>169</v>
      </c>
      <c r="AA46" s="1" t="s">
        <v>177</v>
      </c>
      <c r="AB46" s="1">
        <v>214.0</v>
      </c>
      <c r="AC46" s="1" t="s">
        <v>178</v>
      </c>
      <c r="AD46" s="7"/>
    </row>
    <row r="47">
      <c r="A47" s="1">
        <v>2.0220379E7</v>
      </c>
      <c r="B47" s="1" t="s">
        <v>58</v>
      </c>
      <c r="C47" s="3" t="s">
        <v>59</v>
      </c>
      <c r="D47" s="3" t="s">
        <v>39</v>
      </c>
      <c r="E47" s="3" t="s">
        <v>191</v>
      </c>
      <c r="F47" s="8">
        <v>357606.0</v>
      </c>
      <c r="G47" s="1" t="s">
        <v>192</v>
      </c>
      <c r="H47" s="1" t="b">
        <v>1</v>
      </c>
      <c r="I47" s="1" t="b">
        <v>1</v>
      </c>
      <c r="J47" s="7"/>
      <c r="K47" s="7"/>
      <c r="L47" s="3" t="s">
        <v>61</v>
      </c>
      <c r="M47" s="1" t="s">
        <v>64</v>
      </c>
      <c r="N47" s="3" t="s">
        <v>65</v>
      </c>
      <c r="O47" s="3" t="s">
        <v>66</v>
      </c>
      <c r="P47" s="1" t="s">
        <v>194</v>
      </c>
      <c r="Q47" s="1" t="b">
        <v>1</v>
      </c>
      <c r="R47" s="6">
        <v>44567.0</v>
      </c>
      <c r="S47" s="3" t="s">
        <v>96</v>
      </c>
      <c r="T47" s="3" t="s">
        <v>195</v>
      </c>
      <c r="U47" s="3" t="s">
        <v>196</v>
      </c>
      <c r="V47" s="3" t="s">
        <v>71</v>
      </c>
      <c r="W47" s="1">
        <v>109.0</v>
      </c>
      <c r="X47" s="7"/>
      <c r="Y47" s="7"/>
      <c r="Z47" s="3" t="s">
        <v>197</v>
      </c>
      <c r="AA47" s="8">
        <v>357606.0</v>
      </c>
      <c r="AB47" s="1">
        <v>145.0</v>
      </c>
      <c r="AC47" s="1" t="s">
        <v>198</v>
      </c>
      <c r="AD47" s="7"/>
    </row>
    <row r="48">
      <c r="A48" s="1">
        <v>2.0220876E7</v>
      </c>
      <c r="B48" s="1" t="s">
        <v>58</v>
      </c>
      <c r="C48" s="3" t="s">
        <v>59</v>
      </c>
      <c r="D48" s="3" t="s">
        <v>33</v>
      </c>
      <c r="E48" s="3" t="s">
        <v>104</v>
      </c>
      <c r="F48" s="1" t="s">
        <v>105</v>
      </c>
      <c r="G48" s="7"/>
      <c r="H48" s="1" t="b">
        <v>1</v>
      </c>
      <c r="I48" s="1" t="b">
        <v>1</v>
      </c>
      <c r="J48" s="7"/>
      <c r="K48" s="7"/>
      <c r="L48" s="3" t="s">
        <v>61</v>
      </c>
      <c r="M48" s="1" t="s">
        <v>64</v>
      </c>
      <c r="N48" s="3" t="s">
        <v>65</v>
      </c>
      <c r="O48" s="3" t="s">
        <v>66</v>
      </c>
      <c r="P48" s="1" t="s">
        <v>106</v>
      </c>
      <c r="Q48" s="1" t="b">
        <v>1</v>
      </c>
      <c r="R48" s="6">
        <v>44754.0</v>
      </c>
      <c r="S48" s="3" t="s">
        <v>96</v>
      </c>
      <c r="T48" s="3" t="s">
        <v>200</v>
      </c>
      <c r="U48" s="3" t="s">
        <v>110</v>
      </c>
      <c r="V48" s="3" t="s">
        <v>71</v>
      </c>
      <c r="W48" s="1">
        <v>36.0</v>
      </c>
      <c r="X48" s="7"/>
      <c r="Y48" s="7"/>
      <c r="Z48" s="3" t="s">
        <v>111</v>
      </c>
      <c r="AA48" s="1" t="s">
        <v>112</v>
      </c>
      <c r="AB48" s="1">
        <v>100.0</v>
      </c>
      <c r="AC48" s="1" t="s">
        <v>202</v>
      </c>
      <c r="AD48" s="7"/>
    </row>
    <row r="49">
      <c r="A49" s="1">
        <v>2.0220878E7</v>
      </c>
      <c r="B49" s="1" t="s">
        <v>58</v>
      </c>
      <c r="C49" s="3" t="s">
        <v>59</v>
      </c>
      <c r="D49" s="3" t="s">
        <v>33</v>
      </c>
      <c r="E49" s="3" t="s">
        <v>104</v>
      </c>
      <c r="F49" s="1" t="s">
        <v>105</v>
      </c>
      <c r="G49" s="7"/>
      <c r="H49" s="1" t="b">
        <v>1</v>
      </c>
      <c r="I49" s="1" t="b">
        <v>1</v>
      </c>
      <c r="J49" s="7"/>
      <c r="K49" s="7"/>
      <c r="L49" s="3" t="s">
        <v>61</v>
      </c>
      <c r="M49" s="1" t="s">
        <v>64</v>
      </c>
      <c r="N49" s="3" t="s">
        <v>65</v>
      </c>
      <c r="O49" s="3" t="s">
        <v>66</v>
      </c>
      <c r="P49" s="1" t="s">
        <v>204</v>
      </c>
      <c r="Q49" s="1" t="b">
        <v>1</v>
      </c>
      <c r="R49" s="6">
        <v>44754.0</v>
      </c>
      <c r="S49" s="3" t="s">
        <v>96</v>
      </c>
      <c r="T49" s="3" t="s">
        <v>205</v>
      </c>
      <c r="U49" s="3" t="s">
        <v>110</v>
      </c>
      <c r="V49" s="3" t="s">
        <v>71</v>
      </c>
      <c r="W49" s="1">
        <v>72.0</v>
      </c>
      <c r="X49" s="7"/>
      <c r="Y49" s="7"/>
      <c r="Z49" s="3" t="s">
        <v>111</v>
      </c>
      <c r="AA49" s="1" t="s">
        <v>112</v>
      </c>
      <c r="AB49" s="1">
        <v>100.0</v>
      </c>
      <c r="AC49" s="1" t="s">
        <v>206</v>
      </c>
      <c r="AD49" s="7"/>
    </row>
    <row r="50">
      <c r="A50" s="1">
        <v>2.0220897E7</v>
      </c>
      <c r="B50" s="1" t="s">
        <v>58</v>
      </c>
      <c r="C50" s="3" t="s">
        <v>59</v>
      </c>
      <c r="D50" s="3" t="s">
        <v>40</v>
      </c>
      <c r="E50" s="3" t="s">
        <v>207</v>
      </c>
      <c r="F50" s="1" t="s">
        <v>208</v>
      </c>
      <c r="G50" s="7"/>
      <c r="H50" s="1" t="b">
        <v>1</v>
      </c>
      <c r="I50" s="1" t="b">
        <v>1</v>
      </c>
      <c r="J50" s="3" t="s">
        <v>505</v>
      </c>
      <c r="K50" s="7"/>
      <c r="L50" s="3" t="s">
        <v>61</v>
      </c>
      <c r="M50" s="1" t="s">
        <v>64</v>
      </c>
      <c r="N50" s="3" t="s">
        <v>65</v>
      </c>
      <c r="O50" s="3" t="s">
        <v>66</v>
      </c>
      <c r="P50" s="1" t="s">
        <v>209</v>
      </c>
      <c r="Q50" s="1" t="b">
        <v>1</v>
      </c>
      <c r="R50" s="1" t="s">
        <v>210</v>
      </c>
      <c r="S50" s="3" t="s">
        <v>96</v>
      </c>
      <c r="T50" s="3" t="s">
        <v>211</v>
      </c>
      <c r="U50" s="3" t="s">
        <v>212</v>
      </c>
      <c r="V50" s="3" t="s">
        <v>213</v>
      </c>
      <c r="W50" s="1">
        <v>22.0</v>
      </c>
      <c r="X50" s="7"/>
      <c r="Y50" s="7"/>
      <c r="Z50" s="3" t="s">
        <v>214</v>
      </c>
      <c r="AA50" s="8" t="s">
        <v>215</v>
      </c>
      <c r="AB50" s="7"/>
      <c r="AC50" s="1" t="s">
        <v>216</v>
      </c>
      <c r="AD50" s="7"/>
    </row>
    <row r="51">
      <c r="A51" s="1">
        <v>2.0230224E7</v>
      </c>
      <c r="B51" s="1" t="s">
        <v>58</v>
      </c>
      <c r="C51" s="3" t="s">
        <v>59</v>
      </c>
      <c r="D51" s="3" t="s">
        <v>35</v>
      </c>
      <c r="E51" s="3" t="s">
        <v>115</v>
      </c>
      <c r="F51" s="1" t="s">
        <v>116</v>
      </c>
      <c r="G51" s="7"/>
      <c r="H51" s="4" t="b">
        <v>1</v>
      </c>
      <c r="I51" s="4" t="b">
        <v>1</v>
      </c>
      <c r="J51" s="3" t="s">
        <v>506</v>
      </c>
      <c r="K51" s="7"/>
      <c r="L51" s="3" t="s">
        <v>61</v>
      </c>
      <c r="M51" s="1" t="s">
        <v>64</v>
      </c>
      <c r="N51" s="3" t="s">
        <v>65</v>
      </c>
      <c r="O51" s="3" t="s">
        <v>66</v>
      </c>
      <c r="P51" s="1" t="s">
        <v>217</v>
      </c>
      <c r="Q51" s="1" t="b">
        <v>1</v>
      </c>
      <c r="R51" s="6">
        <v>45049.0</v>
      </c>
      <c r="S51" s="3" t="s">
        <v>68</v>
      </c>
      <c r="T51" s="3" t="s">
        <v>119</v>
      </c>
      <c r="U51" s="3" t="s">
        <v>110</v>
      </c>
      <c r="V51" s="3" t="s">
        <v>218</v>
      </c>
      <c r="W51" s="7"/>
      <c r="X51" s="7"/>
      <c r="Y51" s="7"/>
      <c r="Z51" s="3" t="s">
        <v>219</v>
      </c>
      <c r="AA51" s="1" t="s">
        <v>121</v>
      </c>
      <c r="AB51" s="1">
        <v>1.0</v>
      </c>
      <c r="AC51" s="1" t="s">
        <v>220</v>
      </c>
      <c r="AD51" s="7"/>
    </row>
    <row r="52">
      <c r="A52" s="1">
        <v>2.024029E7</v>
      </c>
      <c r="B52" s="1" t="s">
        <v>58</v>
      </c>
      <c r="C52" s="3" t="s">
        <v>59</v>
      </c>
      <c r="D52" s="3" t="s">
        <v>43</v>
      </c>
      <c r="E52" s="3" t="s">
        <v>245</v>
      </c>
      <c r="F52" s="1" t="s">
        <v>246</v>
      </c>
      <c r="G52" s="3" t="s">
        <v>247</v>
      </c>
      <c r="H52" s="4" t="b">
        <v>1</v>
      </c>
      <c r="I52" s="4" t="b">
        <v>1</v>
      </c>
      <c r="J52" s="7"/>
      <c r="K52" s="7"/>
      <c r="L52" s="3" t="s">
        <v>61</v>
      </c>
      <c r="M52" s="1" t="s">
        <v>64</v>
      </c>
      <c r="N52" s="3" t="s">
        <v>223</v>
      </c>
      <c r="O52" s="3" t="s">
        <v>224</v>
      </c>
      <c r="P52" s="1" t="s">
        <v>248</v>
      </c>
      <c r="Q52" s="1" t="b">
        <v>1</v>
      </c>
      <c r="R52" s="6">
        <v>45690.0</v>
      </c>
      <c r="S52" s="3" t="s">
        <v>96</v>
      </c>
      <c r="T52" s="3" t="s">
        <v>249</v>
      </c>
      <c r="U52" s="3" t="s">
        <v>110</v>
      </c>
      <c r="V52" s="3" t="s">
        <v>98</v>
      </c>
      <c r="W52" s="1">
        <v>116.0</v>
      </c>
      <c r="X52" s="7"/>
      <c r="Y52" s="7"/>
      <c r="Z52" s="3" t="s">
        <v>250</v>
      </c>
      <c r="AA52" s="1" t="s">
        <v>251</v>
      </c>
      <c r="AB52" s="1">
        <v>138.0</v>
      </c>
      <c r="AC52" s="1" t="s">
        <v>252</v>
      </c>
      <c r="AD52" s="7"/>
    </row>
    <row r="53">
      <c r="A53" s="1">
        <v>2.0240348E7</v>
      </c>
      <c r="B53" s="1" t="s">
        <v>58</v>
      </c>
      <c r="C53" s="3" t="s">
        <v>59</v>
      </c>
      <c r="D53" s="3" t="s">
        <v>45</v>
      </c>
      <c r="E53" s="3" t="s">
        <v>253</v>
      </c>
      <c r="F53" s="1" t="s">
        <v>254</v>
      </c>
      <c r="G53" s="3" t="s">
        <v>255</v>
      </c>
      <c r="H53" s="4" t="b">
        <v>1</v>
      </c>
      <c r="I53" s="4" t="b">
        <v>1</v>
      </c>
      <c r="J53" s="7"/>
      <c r="K53" s="7"/>
      <c r="L53" s="3" t="s">
        <v>61</v>
      </c>
      <c r="M53" s="1" t="s">
        <v>64</v>
      </c>
      <c r="N53" s="3" t="s">
        <v>223</v>
      </c>
      <c r="O53" s="3" t="s">
        <v>224</v>
      </c>
      <c r="P53" s="1" t="s">
        <v>257</v>
      </c>
      <c r="Q53" s="1" t="b">
        <v>1</v>
      </c>
      <c r="R53" s="1" t="s">
        <v>258</v>
      </c>
      <c r="S53" s="3" t="s">
        <v>96</v>
      </c>
      <c r="T53" s="3" t="s">
        <v>260</v>
      </c>
      <c r="U53" s="3" t="s">
        <v>110</v>
      </c>
      <c r="V53" s="3" t="s">
        <v>98</v>
      </c>
      <c r="W53" s="1">
        <v>97.0</v>
      </c>
      <c r="X53" s="7"/>
      <c r="Y53" s="7"/>
      <c r="Z53" s="3" t="s">
        <v>263</v>
      </c>
      <c r="AA53" s="1" t="s">
        <v>264</v>
      </c>
      <c r="AB53" s="1">
        <v>107.0</v>
      </c>
      <c r="AC53" s="1" t="s">
        <v>265</v>
      </c>
      <c r="AD53" s="7"/>
    </row>
    <row r="54">
      <c r="A54" s="1">
        <v>2.024065E7</v>
      </c>
      <c r="B54" s="1" t="s">
        <v>58</v>
      </c>
      <c r="C54" s="3" t="s">
        <v>59</v>
      </c>
      <c r="D54" s="3" t="s">
        <v>48</v>
      </c>
      <c r="E54" s="3" t="s">
        <v>266</v>
      </c>
      <c r="F54" s="1" t="s">
        <v>267</v>
      </c>
      <c r="G54" s="3" t="s">
        <v>268</v>
      </c>
      <c r="H54" s="4" t="b">
        <v>1</v>
      </c>
      <c r="I54" s="4" t="b">
        <v>1</v>
      </c>
      <c r="J54" s="7"/>
      <c r="K54" s="7"/>
      <c r="L54" s="3" t="s">
        <v>61</v>
      </c>
      <c r="M54" s="1" t="s">
        <v>64</v>
      </c>
      <c r="N54" s="3" t="s">
        <v>223</v>
      </c>
      <c r="O54" s="3" t="s">
        <v>224</v>
      </c>
      <c r="P54" s="1" t="s">
        <v>269</v>
      </c>
      <c r="Q54" s="1" t="b">
        <v>1</v>
      </c>
      <c r="R54" s="6">
        <v>45394.0</v>
      </c>
      <c r="S54" s="3" t="s">
        <v>96</v>
      </c>
      <c r="T54" s="3" t="s">
        <v>270</v>
      </c>
      <c r="U54" s="3" t="s">
        <v>196</v>
      </c>
      <c r="V54" s="3" t="s">
        <v>98</v>
      </c>
      <c r="W54" s="1">
        <v>112.0</v>
      </c>
      <c r="X54" s="7"/>
      <c r="Y54" s="7"/>
      <c r="Z54" s="3" t="s">
        <v>271</v>
      </c>
      <c r="AA54" s="1" t="s">
        <v>272</v>
      </c>
      <c r="AB54" s="1">
        <v>105.0</v>
      </c>
      <c r="AC54" s="1" t="s">
        <v>273</v>
      </c>
      <c r="AD54" s="7"/>
    </row>
    <row r="55">
      <c r="A55" s="1">
        <v>2.0240697E7</v>
      </c>
      <c r="B55" s="1" t="s">
        <v>58</v>
      </c>
      <c r="C55" s="3" t="s">
        <v>59</v>
      </c>
      <c r="D55" s="3" t="s">
        <v>50</v>
      </c>
      <c r="E55" s="3" t="s">
        <v>274</v>
      </c>
      <c r="F55" s="1" t="s">
        <v>275</v>
      </c>
      <c r="G55" s="3" t="s">
        <v>276</v>
      </c>
      <c r="H55" s="4" t="b">
        <v>1</v>
      </c>
      <c r="I55" s="4" t="b">
        <v>1</v>
      </c>
      <c r="J55" s="7"/>
      <c r="K55" s="7"/>
      <c r="L55" s="3" t="s">
        <v>61</v>
      </c>
      <c r="M55" s="1" t="s">
        <v>64</v>
      </c>
      <c r="N55" s="3" t="s">
        <v>277</v>
      </c>
      <c r="O55" s="3" t="s">
        <v>223</v>
      </c>
      <c r="P55" s="1" t="s">
        <v>278</v>
      </c>
      <c r="Q55" s="1" t="b">
        <v>1</v>
      </c>
      <c r="R55" s="1" t="s">
        <v>279</v>
      </c>
      <c r="S55" s="3" t="s">
        <v>96</v>
      </c>
      <c r="T55" s="3" t="s">
        <v>270</v>
      </c>
      <c r="U55" s="3" t="s">
        <v>70</v>
      </c>
      <c r="V55" s="3" t="s">
        <v>98</v>
      </c>
      <c r="W55" s="1">
        <v>130.0</v>
      </c>
      <c r="X55" s="7"/>
      <c r="Y55" s="7"/>
      <c r="Z55" s="3" t="s">
        <v>280</v>
      </c>
      <c r="AA55" s="1" t="s">
        <v>281</v>
      </c>
      <c r="AB55" s="1">
        <v>201.0</v>
      </c>
      <c r="AC55" s="1" t="s">
        <v>282</v>
      </c>
      <c r="AD55" s="7"/>
    </row>
    <row r="56">
      <c r="A56" s="1">
        <v>2.0240698E7</v>
      </c>
      <c r="B56" s="1" t="s">
        <v>58</v>
      </c>
      <c r="C56" s="3" t="s">
        <v>59</v>
      </c>
      <c r="D56" s="3" t="s">
        <v>50</v>
      </c>
      <c r="E56" s="3" t="s">
        <v>274</v>
      </c>
      <c r="F56" s="1" t="s">
        <v>275</v>
      </c>
      <c r="G56" s="3" t="s">
        <v>276</v>
      </c>
      <c r="H56" s="4" t="b">
        <v>1</v>
      </c>
      <c r="I56" s="4" t="b">
        <v>1</v>
      </c>
      <c r="J56" s="7"/>
      <c r="K56" s="7"/>
      <c r="L56" s="3" t="s">
        <v>61</v>
      </c>
      <c r="M56" s="1" t="s">
        <v>64</v>
      </c>
      <c r="N56" s="3" t="s">
        <v>277</v>
      </c>
      <c r="O56" s="3" t="s">
        <v>223</v>
      </c>
      <c r="P56" s="1" t="s">
        <v>278</v>
      </c>
      <c r="Q56" s="1" t="b">
        <v>1</v>
      </c>
      <c r="R56" s="1" t="s">
        <v>279</v>
      </c>
      <c r="S56" s="3" t="s">
        <v>96</v>
      </c>
      <c r="T56" s="3" t="s">
        <v>270</v>
      </c>
      <c r="U56" s="3" t="s">
        <v>70</v>
      </c>
      <c r="V56" s="3" t="s">
        <v>98</v>
      </c>
      <c r="W56" s="7"/>
      <c r="X56" s="7"/>
      <c r="Y56" s="7"/>
      <c r="Z56" s="3" t="s">
        <v>280</v>
      </c>
      <c r="AA56" s="1" t="s">
        <v>283</v>
      </c>
      <c r="AB56" s="1">
        <v>200.0</v>
      </c>
      <c r="AC56" s="1" t="s">
        <v>284</v>
      </c>
      <c r="AD56" s="7"/>
    </row>
    <row r="57">
      <c r="A57" s="1">
        <v>2.0250098E7</v>
      </c>
      <c r="B57" s="1" t="s">
        <v>58</v>
      </c>
      <c r="C57" s="3" t="s">
        <v>59</v>
      </c>
      <c r="D57" s="3" t="s">
        <v>51</v>
      </c>
      <c r="E57" s="3" t="s">
        <v>285</v>
      </c>
      <c r="F57" s="1" t="s">
        <v>286</v>
      </c>
      <c r="G57" s="3" t="s">
        <v>287</v>
      </c>
      <c r="H57" s="4" t="b">
        <v>1</v>
      </c>
      <c r="I57" s="4" t="b">
        <v>1</v>
      </c>
      <c r="J57" s="7"/>
      <c r="K57" s="7"/>
      <c r="L57" s="3" t="s">
        <v>61</v>
      </c>
      <c r="M57" s="1" t="s">
        <v>64</v>
      </c>
      <c r="N57" s="3" t="s">
        <v>223</v>
      </c>
      <c r="O57" s="3" t="s">
        <v>224</v>
      </c>
      <c r="P57" s="1" t="s">
        <v>288</v>
      </c>
      <c r="Q57" s="1" t="b">
        <v>1</v>
      </c>
      <c r="R57" s="1" t="s">
        <v>289</v>
      </c>
      <c r="S57" s="3" t="s">
        <v>68</v>
      </c>
      <c r="T57" s="3" t="s">
        <v>290</v>
      </c>
      <c r="U57" s="3" t="s">
        <v>110</v>
      </c>
      <c r="V57" s="3" t="s">
        <v>98</v>
      </c>
      <c r="W57" s="1">
        <v>104.0</v>
      </c>
      <c r="X57" s="7"/>
      <c r="Y57" s="7"/>
      <c r="Z57" s="3" t="s">
        <v>291</v>
      </c>
      <c r="AA57" s="1" t="s">
        <v>292</v>
      </c>
      <c r="AB57" s="1">
        <v>117.0</v>
      </c>
      <c r="AC57" s="1" t="s">
        <v>293</v>
      </c>
      <c r="AD57" s="7"/>
    </row>
    <row r="58">
      <c r="A58" s="1">
        <v>2.0250129E7</v>
      </c>
      <c r="B58" s="1" t="s">
        <v>58</v>
      </c>
      <c r="C58" s="3" t="s">
        <v>59</v>
      </c>
      <c r="D58" s="3" t="s">
        <v>52</v>
      </c>
      <c r="E58" s="3" t="s">
        <v>296</v>
      </c>
      <c r="F58" s="1" t="s">
        <v>297</v>
      </c>
      <c r="G58" s="3" t="s">
        <v>298</v>
      </c>
      <c r="H58" s="4" t="b">
        <v>1</v>
      </c>
      <c r="I58" s="4" t="b">
        <v>1</v>
      </c>
      <c r="J58" s="7"/>
      <c r="K58" s="7"/>
      <c r="L58" s="3" t="s">
        <v>61</v>
      </c>
      <c r="M58" s="1" t="s">
        <v>64</v>
      </c>
      <c r="N58" s="3" t="s">
        <v>223</v>
      </c>
      <c r="O58" s="3" t="s">
        <v>224</v>
      </c>
      <c r="P58" s="1" t="s">
        <v>300</v>
      </c>
      <c r="Q58" s="1" t="b">
        <v>1</v>
      </c>
      <c r="R58" s="6">
        <v>45933.0</v>
      </c>
      <c r="S58" s="3" t="s">
        <v>96</v>
      </c>
      <c r="T58" s="3" t="s">
        <v>270</v>
      </c>
      <c r="U58" s="3" t="s">
        <v>110</v>
      </c>
      <c r="V58" s="3" t="s">
        <v>98</v>
      </c>
      <c r="W58" s="1">
        <v>104.0</v>
      </c>
      <c r="X58" s="7"/>
      <c r="Y58" s="7"/>
      <c r="Z58" s="3" t="s">
        <v>304</v>
      </c>
      <c r="AA58" s="1" t="s">
        <v>305</v>
      </c>
      <c r="AB58" s="1">
        <v>100.0</v>
      </c>
      <c r="AC58" s="1" t="s">
        <v>306</v>
      </c>
      <c r="AD58" s="7"/>
    </row>
    <row r="59">
      <c r="A59" s="1">
        <v>2.0250232E7</v>
      </c>
      <c r="B59" s="1" t="s">
        <v>58</v>
      </c>
      <c r="C59" s="3" t="s">
        <v>59</v>
      </c>
      <c r="D59" s="3" t="s">
        <v>53</v>
      </c>
      <c r="E59" s="3" t="s">
        <v>309</v>
      </c>
      <c r="F59" s="1" t="s">
        <v>310</v>
      </c>
      <c r="G59" s="3" t="s">
        <v>311</v>
      </c>
      <c r="H59" s="4" t="b">
        <v>1</v>
      </c>
      <c r="I59" s="4" t="b">
        <v>1</v>
      </c>
      <c r="J59" s="7"/>
      <c r="K59" s="7"/>
      <c r="L59" s="3" t="s">
        <v>61</v>
      </c>
      <c r="M59" s="1" t="s">
        <v>64</v>
      </c>
      <c r="N59" s="3" t="s">
        <v>223</v>
      </c>
      <c r="O59" s="3" t="s">
        <v>224</v>
      </c>
      <c r="P59" s="1" t="s">
        <v>313</v>
      </c>
      <c r="Q59" s="1" t="b">
        <v>1</v>
      </c>
      <c r="R59" s="1" t="s">
        <v>315</v>
      </c>
      <c r="S59" s="3" t="s">
        <v>68</v>
      </c>
      <c r="T59" s="3" t="s">
        <v>316</v>
      </c>
      <c r="U59" s="3" t="s">
        <v>110</v>
      </c>
      <c r="V59" s="3" t="s">
        <v>317</v>
      </c>
      <c r="W59" s="1">
        <v>180.0</v>
      </c>
      <c r="X59" s="7"/>
      <c r="Y59" s="7"/>
      <c r="Z59" s="3" t="s">
        <v>169</v>
      </c>
      <c r="AA59" s="1" t="s">
        <v>319</v>
      </c>
      <c r="AB59" s="1">
        <v>106.0</v>
      </c>
      <c r="AC59" s="1" t="s">
        <v>320</v>
      </c>
      <c r="AD59" s="7"/>
    </row>
    <row r="60">
      <c r="A60" s="1">
        <v>2.0250354E7</v>
      </c>
      <c r="B60" s="1" t="s">
        <v>58</v>
      </c>
      <c r="C60" s="3" t="s">
        <v>59</v>
      </c>
      <c r="D60" s="3" t="s">
        <v>54</v>
      </c>
      <c r="E60" s="3" t="s">
        <v>333</v>
      </c>
      <c r="F60" s="1" t="s">
        <v>334</v>
      </c>
      <c r="G60" s="3" t="s">
        <v>335</v>
      </c>
      <c r="H60" s="4" t="b">
        <v>1</v>
      </c>
      <c r="I60" s="4" t="b">
        <v>1</v>
      </c>
      <c r="J60" s="7"/>
      <c r="K60" s="7"/>
      <c r="L60" s="3" t="s">
        <v>61</v>
      </c>
      <c r="M60" s="1" t="s">
        <v>64</v>
      </c>
      <c r="N60" s="3" t="s">
        <v>68</v>
      </c>
      <c r="O60" s="3" t="s">
        <v>223</v>
      </c>
      <c r="P60" s="6">
        <v>46329.0</v>
      </c>
      <c r="Q60" s="1" t="b">
        <v>1</v>
      </c>
      <c r="R60" s="1" t="s">
        <v>336</v>
      </c>
      <c r="S60" s="3" t="s">
        <v>96</v>
      </c>
      <c r="T60" s="3" t="s">
        <v>337</v>
      </c>
      <c r="U60" s="3" t="s">
        <v>110</v>
      </c>
      <c r="V60" s="3" t="s">
        <v>98</v>
      </c>
      <c r="W60" s="1">
        <v>108.0</v>
      </c>
      <c r="X60" s="7"/>
      <c r="Y60" s="7"/>
      <c r="Z60" s="3" t="s">
        <v>338</v>
      </c>
      <c r="AA60" s="1" t="s">
        <v>339</v>
      </c>
      <c r="AB60" s="1">
        <v>104.0</v>
      </c>
      <c r="AC60" s="1" t="s">
        <v>340</v>
      </c>
      <c r="AD60" s="7"/>
    </row>
    <row r="61">
      <c r="A61" s="1">
        <v>2.0250355E7</v>
      </c>
      <c r="B61" s="1" t="s">
        <v>58</v>
      </c>
      <c r="C61" s="3" t="s">
        <v>59</v>
      </c>
      <c r="D61" s="3" t="s">
        <v>54</v>
      </c>
      <c r="E61" s="3" t="s">
        <v>333</v>
      </c>
      <c r="F61" s="1" t="s">
        <v>334</v>
      </c>
      <c r="G61" s="3" t="s">
        <v>335</v>
      </c>
      <c r="H61" s="4" t="b">
        <v>1</v>
      </c>
      <c r="I61" s="4" t="b">
        <v>1</v>
      </c>
      <c r="J61" s="7"/>
      <c r="K61" s="7"/>
      <c r="L61" s="3" t="s">
        <v>61</v>
      </c>
      <c r="M61" s="1" t="s">
        <v>64</v>
      </c>
      <c r="N61" s="3" t="s">
        <v>68</v>
      </c>
      <c r="O61" s="3" t="s">
        <v>223</v>
      </c>
      <c r="P61" s="6">
        <v>46329.0</v>
      </c>
      <c r="Q61" s="1" t="b">
        <v>1</v>
      </c>
      <c r="R61" s="1" t="s">
        <v>336</v>
      </c>
      <c r="S61" s="3" t="s">
        <v>96</v>
      </c>
      <c r="T61" s="3" t="s">
        <v>341</v>
      </c>
      <c r="U61" s="3" t="s">
        <v>110</v>
      </c>
      <c r="V61" s="3" t="s">
        <v>98</v>
      </c>
      <c r="W61" s="1">
        <v>108.0</v>
      </c>
      <c r="X61" s="7"/>
      <c r="Y61" s="7"/>
      <c r="Z61" s="3" t="s">
        <v>338</v>
      </c>
      <c r="AA61" s="1" t="s">
        <v>342</v>
      </c>
      <c r="AB61" s="1">
        <v>105.0</v>
      </c>
      <c r="AC61" s="1" t="s">
        <v>343</v>
      </c>
      <c r="AD61" s="7"/>
    </row>
    <row r="62">
      <c r="A62" s="1">
        <v>2.0250477E7</v>
      </c>
      <c r="B62" s="1" t="s">
        <v>58</v>
      </c>
      <c r="C62" s="3" t="s">
        <v>59</v>
      </c>
      <c r="D62" s="3" t="s">
        <v>31</v>
      </c>
      <c r="E62" s="3" t="s">
        <v>366</v>
      </c>
      <c r="F62" s="1" t="s">
        <v>367</v>
      </c>
      <c r="G62" s="3" t="s">
        <v>369</v>
      </c>
      <c r="H62" s="4" t="b">
        <v>1</v>
      </c>
      <c r="I62" s="4" t="b">
        <v>1</v>
      </c>
      <c r="J62" s="7"/>
      <c r="K62" s="7"/>
      <c r="L62" s="3" t="s">
        <v>61</v>
      </c>
      <c r="M62" s="1" t="s">
        <v>64</v>
      </c>
      <c r="N62" s="3" t="s">
        <v>68</v>
      </c>
      <c r="O62" s="3" t="s">
        <v>223</v>
      </c>
      <c r="P62" s="6">
        <v>46329.0</v>
      </c>
      <c r="Q62" s="1" t="b">
        <v>1</v>
      </c>
      <c r="R62" s="1" t="s">
        <v>379</v>
      </c>
      <c r="S62" s="3" t="s">
        <v>68</v>
      </c>
      <c r="T62" s="3" t="s">
        <v>381</v>
      </c>
      <c r="U62" s="3" t="s">
        <v>110</v>
      </c>
      <c r="V62" s="3" t="s">
        <v>98</v>
      </c>
      <c r="W62" s="1">
        <v>104.0</v>
      </c>
      <c r="X62" s="7"/>
      <c r="Y62" s="7"/>
      <c r="Z62" s="3" t="s">
        <v>382</v>
      </c>
      <c r="AA62" s="1" t="s">
        <v>383</v>
      </c>
      <c r="AB62" s="1">
        <v>102.0</v>
      </c>
      <c r="AC62" s="1" t="s">
        <v>384</v>
      </c>
      <c r="AD62" s="7"/>
    </row>
    <row r="63">
      <c r="A63" s="1">
        <v>2.0250514E7</v>
      </c>
      <c r="B63" s="1" t="s">
        <v>344</v>
      </c>
      <c r="C63" s="7"/>
      <c r="D63" s="7"/>
      <c r="E63" s="7"/>
      <c r="F63" s="7"/>
      <c r="G63" s="7"/>
      <c r="H63" s="4" t="b">
        <v>1</v>
      </c>
      <c r="I63" s="1" t="b">
        <v>0</v>
      </c>
      <c r="J63" s="3" t="s">
        <v>507</v>
      </c>
      <c r="K63" s="7"/>
      <c r="L63" s="7"/>
      <c r="M63" s="7"/>
      <c r="N63" s="7"/>
      <c r="O63" s="3" t="s">
        <v>224</v>
      </c>
      <c r="P63" s="1" t="s">
        <v>386</v>
      </c>
      <c r="Q63" s="1" t="b">
        <v>1</v>
      </c>
      <c r="R63" s="1" t="s">
        <v>387</v>
      </c>
      <c r="S63" s="3" t="s">
        <v>68</v>
      </c>
      <c r="T63" s="3" t="s">
        <v>388</v>
      </c>
      <c r="U63" s="3" t="s">
        <v>389</v>
      </c>
      <c r="V63" s="3" t="s">
        <v>218</v>
      </c>
      <c r="W63" s="7"/>
      <c r="X63" s="7"/>
      <c r="Y63" s="7"/>
      <c r="Z63" s="3" t="s">
        <v>390</v>
      </c>
      <c r="AA63" s="1" t="s">
        <v>391</v>
      </c>
      <c r="AB63" s="1">
        <v>83.0</v>
      </c>
      <c r="AC63" s="1" t="s">
        <v>392</v>
      </c>
      <c r="AD63" s="7"/>
    </row>
    <row r="64">
      <c r="A64" s="1">
        <v>2.0260006E7</v>
      </c>
      <c r="B64" s="1" t="s">
        <v>438</v>
      </c>
      <c r="C64" s="3" t="s">
        <v>59</v>
      </c>
      <c r="D64" s="3" t="s">
        <v>189</v>
      </c>
      <c r="E64" s="3" t="s">
        <v>439</v>
      </c>
      <c r="F64" s="1" t="s">
        <v>440</v>
      </c>
      <c r="G64" s="3" t="s">
        <v>441</v>
      </c>
      <c r="H64" s="1" t="b">
        <v>1</v>
      </c>
      <c r="I64" s="1" t="b">
        <v>0</v>
      </c>
      <c r="J64" s="3" t="s">
        <v>508</v>
      </c>
      <c r="K64" s="7"/>
      <c r="L64" s="3" t="s">
        <v>61</v>
      </c>
      <c r="M64" s="1" t="s">
        <v>64</v>
      </c>
      <c r="N64" s="3" t="s">
        <v>277</v>
      </c>
      <c r="O64" s="7"/>
      <c r="P64" s="7"/>
      <c r="Q64" s="1" t="b">
        <v>1</v>
      </c>
      <c r="R64" s="6">
        <v>46113.0</v>
      </c>
      <c r="S64" s="3" t="s">
        <v>68</v>
      </c>
      <c r="T64" s="3" t="s">
        <v>442</v>
      </c>
      <c r="U64" s="3" t="s">
        <v>110</v>
      </c>
      <c r="V64" s="3" t="s">
        <v>98</v>
      </c>
      <c r="W64" s="7"/>
      <c r="X64" s="7"/>
      <c r="Y64" s="7"/>
      <c r="Z64" s="3" t="s">
        <v>443</v>
      </c>
      <c r="AA64" s="1" t="s">
        <v>444</v>
      </c>
      <c r="AB64" s="1">
        <v>307.0</v>
      </c>
      <c r="AC64" s="1" t="s">
        <v>445</v>
      </c>
      <c r="AD64" s="7"/>
    </row>
    <row r="65">
      <c r="A65" s="1">
        <v>2.0260025E7</v>
      </c>
      <c r="B65" s="1" t="s">
        <v>438</v>
      </c>
      <c r="C65" s="3" t="s">
        <v>59</v>
      </c>
      <c r="D65" s="3" t="s">
        <v>203</v>
      </c>
      <c r="E65" s="3" t="s">
        <v>451</v>
      </c>
      <c r="F65" s="1" t="s">
        <v>452</v>
      </c>
      <c r="G65" s="3" t="s">
        <v>453</v>
      </c>
      <c r="H65" s="4" t="b">
        <v>1</v>
      </c>
      <c r="I65" s="4" t="b">
        <v>1</v>
      </c>
      <c r="J65" s="7"/>
      <c r="K65" s="7"/>
      <c r="L65" s="3" t="s">
        <v>61</v>
      </c>
      <c r="M65" s="1" t="s">
        <v>64</v>
      </c>
      <c r="N65" s="3" t="s">
        <v>277</v>
      </c>
      <c r="O65" s="3" t="s">
        <v>223</v>
      </c>
      <c r="P65" s="6">
        <v>46240.0</v>
      </c>
      <c r="Q65" s="1" t="b">
        <v>1</v>
      </c>
      <c r="R65" s="1" t="s">
        <v>454</v>
      </c>
      <c r="S65" s="3" t="s">
        <v>68</v>
      </c>
      <c r="T65" s="3" t="s">
        <v>455</v>
      </c>
      <c r="U65" s="3" t="s">
        <v>110</v>
      </c>
      <c r="V65" s="3" t="s">
        <v>98</v>
      </c>
      <c r="W65" s="1">
        <v>104.0</v>
      </c>
      <c r="X65" s="7"/>
      <c r="Y65" s="7"/>
      <c r="Z65" s="3" t="s">
        <v>456</v>
      </c>
      <c r="AA65" s="1" t="s">
        <v>457</v>
      </c>
      <c r="AB65" s="1">
        <v>103.0</v>
      </c>
      <c r="AC65" s="1" t="s">
        <v>458</v>
      </c>
      <c r="AD65" s="7"/>
    </row>
    <row r="66">
      <c r="A66" s="1">
        <v>2.026009E7</v>
      </c>
      <c r="B66" s="1" t="s">
        <v>344</v>
      </c>
      <c r="C66" s="7"/>
      <c r="D66" s="7"/>
      <c r="E66" s="7"/>
      <c r="F66" s="7"/>
      <c r="G66" s="7"/>
      <c r="H66" s="1" t="b">
        <v>1</v>
      </c>
      <c r="I66" s="1" t="b">
        <v>0</v>
      </c>
      <c r="J66" s="3" t="s">
        <v>508</v>
      </c>
      <c r="K66" s="7"/>
      <c r="L66" s="7"/>
      <c r="M66" s="7"/>
      <c r="N66" s="7"/>
      <c r="O66" s="7"/>
      <c r="P66" s="7"/>
      <c r="Q66" s="1" t="b">
        <v>1</v>
      </c>
      <c r="R66" s="1" t="s">
        <v>465</v>
      </c>
      <c r="S66" s="3" t="s">
        <v>68</v>
      </c>
      <c r="T66" s="3" t="s">
        <v>466</v>
      </c>
      <c r="U66" s="3" t="s">
        <v>110</v>
      </c>
      <c r="V66" s="3" t="s">
        <v>98</v>
      </c>
      <c r="W66" s="7"/>
      <c r="X66" s="7"/>
      <c r="Y66" s="7"/>
      <c r="Z66" s="3" t="s">
        <v>467</v>
      </c>
      <c r="AA66" s="1" t="s">
        <v>468</v>
      </c>
      <c r="AB66" s="1">
        <v>116.0</v>
      </c>
      <c r="AC66" s="1" t="s">
        <v>469</v>
      </c>
      <c r="AD66" s="7"/>
    </row>
    <row r="67">
      <c r="A67" s="1">
        <v>2.0260184E7</v>
      </c>
      <c r="B67" s="1" t="s">
        <v>58</v>
      </c>
      <c r="C67" s="3" t="s">
        <v>59</v>
      </c>
      <c r="D67" s="3" t="s">
        <v>55</v>
      </c>
      <c r="E67" s="3" t="s">
        <v>490</v>
      </c>
      <c r="F67" s="1" t="s">
        <v>491</v>
      </c>
      <c r="G67" s="3" t="s">
        <v>492</v>
      </c>
      <c r="H67" s="1" t="b">
        <v>1</v>
      </c>
      <c r="I67" s="1" t="b">
        <v>1</v>
      </c>
      <c r="J67" s="3" t="s">
        <v>509</v>
      </c>
      <c r="K67" s="7"/>
      <c r="L67" s="3" t="s">
        <v>61</v>
      </c>
      <c r="M67" s="1" t="s">
        <v>64</v>
      </c>
      <c r="N67" s="3" t="s">
        <v>68</v>
      </c>
      <c r="O67" s="3" t="s">
        <v>223</v>
      </c>
      <c r="P67" s="1" t="s">
        <v>240</v>
      </c>
      <c r="Q67" s="1" t="b">
        <v>1</v>
      </c>
      <c r="R67" s="1" t="s">
        <v>476</v>
      </c>
      <c r="S67" s="3" t="s">
        <v>68</v>
      </c>
      <c r="T67" s="3" t="s">
        <v>494</v>
      </c>
      <c r="U67" s="3" t="s">
        <v>110</v>
      </c>
      <c r="V67" s="3" t="s">
        <v>98</v>
      </c>
      <c r="W67" s="1">
        <v>78.0</v>
      </c>
      <c r="X67" s="7"/>
      <c r="Y67" s="7"/>
      <c r="Z67" s="3" t="s">
        <v>497</v>
      </c>
      <c r="AA67" s="1" t="s">
        <v>498</v>
      </c>
      <c r="AB67" s="1">
        <v>125.0</v>
      </c>
      <c r="AC67" s="1" t="s">
        <v>499</v>
      </c>
      <c r="AD67" s="7"/>
    </row>
    <row r="68">
      <c r="A68" s="1">
        <v>2.0260185E7</v>
      </c>
      <c r="B68" s="1" t="s">
        <v>58</v>
      </c>
      <c r="C68" s="3" t="s">
        <v>59</v>
      </c>
      <c r="D68" s="3" t="s">
        <v>55</v>
      </c>
      <c r="E68" s="3" t="s">
        <v>490</v>
      </c>
      <c r="F68" s="1" t="s">
        <v>491</v>
      </c>
      <c r="G68" s="3" t="s">
        <v>492</v>
      </c>
      <c r="H68" s="1" t="b">
        <v>1</v>
      </c>
      <c r="I68" s="1" t="b">
        <v>1</v>
      </c>
      <c r="J68" s="3" t="s">
        <v>509</v>
      </c>
      <c r="K68" s="7"/>
      <c r="L68" s="3" t="s">
        <v>61</v>
      </c>
      <c r="M68" s="1" t="s">
        <v>64</v>
      </c>
      <c r="N68" s="3" t="s">
        <v>68</v>
      </c>
      <c r="O68" s="3" t="s">
        <v>223</v>
      </c>
      <c r="P68" s="1" t="s">
        <v>240</v>
      </c>
      <c r="Q68" s="1" t="b">
        <v>1</v>
      </c>
      <c r="R68" s="1" t="s">
        <v>476</v>
      </c>
      <c r="S68" s="3" t="s">
        <v>68</v>
      </c>
      <c r="T68" s="3" t="s">
        <v>500</v>
      </c>
      <c r="U68" s="3" t="s">
        <v>110</v>
      </c>
      <c r="V68" s="3" t="s">
        <v>98</v>
      </c>
      <c r="W68" s="1">
        <v>78.0</v>
      </c>
      <c r="X68" s="7"/>
      <c r="Y68" s="7"/>
      <c r="Z68" s="3" t="s">
        <v>497</v>
      </c>
      <c r="AA68" s="1" t="s">
        <v>501</v>
      </c>
      <c r="AB68" s="1">
        <v>126.0</v>
      </c>
      <c r="AC68" s="1" t="s">
        <v>502</v>
      </c>
      <c r="AD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autoFilter ref="$A$1:$AC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19</v>
      </c>
      <c r="M1" s="1" t="s">
        <v>21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41</v>
      </c>
      <c r="V1" s="1" t="s">
        <v>42</v>
      </c>
      <c r="W1" s="1" t="s">
        <v>44</v>
      </c>
      <c r="X1" s="1" t="s">
        <v>46</v>
      </c>
      <c r="Y1" s="1" t="s">
        <v>47</v>
      </c>
      <c r="Z1" s="1" t="s">
        <v>49</v>
      </c>
    </row>
    <row r="2" hidden="1">
      <c r="A2" s="1">
        <v>2.0160086E7</v>
      </c>
      <c r="B2" s="1">
        <f>VLOOKUP(A2,'רשימת בקשות לעבור עליהם'!$A:$A,1,0)</f>
        <v>20160086</v>
      </c>
      <c r="C2" s="1" t="s">
        <v>58</v>
      </c>
      <c r="D2" s="3" t="s">
        <v>59</v>
      </c>
      <c r="E2" s="3" t="s">
        <v>4</v>
      </c>
      <c r="F2" s="3" t="s">
        <v>60</v>
      </c>
      <c r="G2" s="3" t="s">
        <v>61</v>
      </c>
      <c r="H2" s="1" t="s">
        <v>62</v>
      </c>
      <c r="I2" s="1" t="s">
        <v>63</v>
      </c>
      <c r="J2" s="1" t="s">
        <v>64</v>
      </c>
      <c r="K2" s="3" t="s">
        <v>65</v>
      </c>
      <c r="L2" s="3" t="s">
        <v>66</v>
      </c>
      <c r="M2" s="1" t="s">
        <v>67</v>
      </c>
      <c r="N2" s="1" t="b">
        <v>1</v>
      </c>
      <c r="O2" s="6">
        <v>42402.0</v>
      </c>
      <c r="P2" s="3" t="s">
        <v>68</v>
      </c>
      <c r="Q2" s="3" t="s">
        <v>69</v>
      </c>
      <c r="R2" s="3" t="s">
        <v>70</v>
      </c>
      <c r="S2" s="3" t="s">
        <v>71</v>
      </c>
      <c r="T2" s="1">
        <v>116.0</v>
      </c>
      <c r="U2" s="7"/>
      <c r="V2" s="7"/>
      <c r="W2" s="3" t="s">
        <v>72</v>
      </c>
      <c r="X2" s="8">
        <v>360405.0</v>
      </c>
      <c r="Y2" s="1">
        <v>403.0</v>
      </c>
      <c r="Z2" s="9" t="s">
        <v>73</v>
      </c>
    </row>
    <row r="3" hidden="1">
      <c r="A3" s="1">
        <v>2.0160462E7</v>
      </c>
      <c r="B3" s="1">
        <f>VLOOKUP(A3,'רשימת בקשות לעבור עליהם'!$A:$A,1,0)</f>
        <v>20160462</v>
      </c>
      <c r="C3" s="1" t="s">
        <v>58</v>
      </c>
      <c r="D3" s="3" t="s">
        <v>59</v>
      </c>
      <c r="E3" s="3" t="s">
        <v>8</v>
      </c>
      <c r="F3" s="3" t="s">
        <v>77</v>
      </c>
      <c r="G3" s="3" t="s">
        <v>61</v>
      </c>
      <c r="H3" s="8">
        <v>358852.0</v>
      </c>
      <c r="I3" s="1" t="s">
        <v>78</v>
      </c>
      <c r="J3" s="1" t="s">
        <v>64</v>
      </c>
      <c r="K3" s="3" t="s">
        <v>65</v>
      </c>
      <c r="L3" s="3" t="s">
        <v>66</v>
      </c>
      <c r="M3" s="6">
        <v>43474.0</v>
      </c>
      <c r="N3" s="1" t="b">
        <v>1</v>
      </c>
      <c r="O3" s="1" t="s">
        <v>79</v>
      </c>
      <c r="P3" s="3" t="s">
        <v>68</v>
      </c>
      <c r="Q3" s="3" t="s">
        <v>80</v>
      </c>
      <c r="R3" s="3" t="s">
        <v>70</v>
      </c>
      <c r="S3" s="3" t="s">
        <v>71</v>
      </c>
      <c r="T3" s="1">
        <v>33.0</v>
      </c>
      <c r="U3" s="7"/>
      <c r="V3" s="7"/>
      <c r="W3" s="3" t="s">
        <v>81</v>
      </c>
      <c r="X3" s="8">
        <v>358852.0</v>
      </c>
      <c r="Y3" s="1">
        <v>200.0</v>
      </c>
      <c r="Z3" s="9" t="s">
        <v>82</v>
      </c>
    </row>
    <row r="4" hidden="1">
      <c r="A4" s="1">
        <v>2.0160463E7</v>
      </c>
      <c r="B4" s="1">
        <f>VLOOKUP(A4,'רשימת בקשות לעבור עליהם'!$A:$A,1,0)</f>
        <v>20160463</v>
      </c>
      <c r="C4" s="1" t="s">
        <v>58</v>
      </c>
      <c r="D4" s="3" t="s">
        <v>59</v>
      </c>
      <c r="E4" s="3" t="s">
        <v>8</v>
      </c>
      <c r="F4" s="3" t="s">
        <v>77</v>
      </c>
      <c r="G4" s="3" t="s">
        <v>61</v>
      </c>
      <c r="H4" s="8">
        <v>358852.0</v>
      </c>
      <c r="I4" s="1" t="s">
        <v>78</v>
      </c>
      <c r="J4" s="1" t="s">
        <v>64</v>
      </c>
      <c r="K4" s="3" t="s">
        <v>65</v>
      </c>
      <c r="L4" s="3" t="s">
        <v>66</v>
      </c>
      <c r="M4" s="1" t="s">
        <v>84</v>
      </c>
      <c r="N4" s="1" t="b">
        <v>1</v>
      </c>
      <c r="O4" s="1" t="s">
        <v>79</v>
      </c>
      <c r="P4" s="3" t="s">
        <v>68</v>
      </c>
      <c r="Q4" s="3" t="s">
        <v>86</v>
      </c>
      <c r="R4" s="3" t="s">
        <v>70</v>
      </c>
      <c r="S4" s="3" t="s">
        <v>71</v>
      </c>
      <c r="T4" s="1">
        <v>27.0</v>
      </c>
      <c r="U4" s="7"/>
      <c r="V4" s="7"/>
      <c r="W4" s="3" t="s">
        <v>88</v>
      </c>
      <c r="X4" s="8">
        <v>358852.0</v>
      </c>
      <c r="Y4" s="1">
        <v>200.0</v>
      </c>
      <c r="Z4" s="9" t="s">
        <v>89</v>
      </c>
    </row>
    <row r="5" hidden="1">
      <c r="A5" s="1">
        <v>2.0190022E7</v>
      </c>
      <c r="B5" s="1">
        <f>VLOOKUP(A5,'רשימת בקשות לעבור עליהם'!$A:$A,1,0)</f>
        <v>20190022</v>
      </c>
      <c r="C5" s="1" t="s">
        <v>58</v>
      </c>
      <c r="D5" s="3" t="s">
        <v>59</v>
      </c>
      <c r="E5" s="3" t="s">
        <v>11</v>
      </c>
      <c r="F5" s="3" t="s">
        <v>90</v>
      </c>
      <c r="G5" s="3" t="s">
        <v>61</v>
      </c>
      <c r="H5" s="1" t="s">
        <v>91</v>
      </c>
      <c r="I5" s="1" t="s">
        <v>92</v>
      </c>
      <c r="J5" s="1" t="s">
        <v>64</v>
      </c>
      <c r="K5" s="3" t="s">
        <v>65</v>
      </c>
      <c r="L5" s="3" t="s">
        <v>66</v>
      </c>
      <c r="M5" s="1" t="s">
        <v>94</v>
      </c>
      <c r="N5" s="1" t="b">
        <v>1</v>
      </c>
      <c r="O5" s="1" t="s">
        <v>95</v>
      </c>
      <c r="P5" s="3" t="s">
        <v>96</v>
      </c>
      <c r="Q5" s="3" t="s">
        <v>97</v>
      </c>
      <c r="R5" s="3" t="s">
        <v>70</v>
      </c>
      <c r="S5" s="3" t="s">
        <v>98</v>
      </c>
      <c r="T5" s="1">
        <v>73.0</v>
      </c>
      <c r="U5" s="7"/>
      <c r="V5" s="7"/>
      <c r="W5" s="3" t="s">
        <v>100</v>
      </c>
      <c r="X5" s="8">
        <v>383780.0</v>
      </c>
      <c r="Y5" s="1">
        <v>1.0</v>
      </c>
      <c r="Z5" s="9" t="s">
        <v>101</v>
      </c>
    </row>
    <row r="6">
      <c r="A6" s="1">
        <v>2.0220191E7</v>
      </c>
      <c r="B6" s="1">
        <f>VLOOKUP(A6,'רשימת בקשות לעבור עליהם'!$A:$A,1,0)</f>
        <v>20220191</v>
      </c>
      <c r="C6" s="1" t="s">
        <v>58</v>
      </c>
      <c r="D6" s="3" t="s">
        <v>59</v>
      </c>
      <c r="E6" s="3" t="s">
        <v>33</v>
      </c>
      <c r="F6" s="3" t="s">
        <v>104</v>
      </c>
      <c r="G6" s="3" t="s">
        <v>61</v>
      </c>
      <c r="H6" s="1" t="s">
        <v>105</v>
      </c>
      <c r="I6" s="7"/>
      <c r="J6" s="1" t="s">
        <v>64</v>
      </c>
      <c r="K6" s="3" t="s">
        <v>65</v>
      </c>
      <c r="L6" s="3" t="s">
        <v>66</v>
      </c>
      <c r="M6" s="1" t="s">
        <v>106</v>
      </c>
      <c r="N6" s="1" t="b">
        <v>1</v>
      </c>
      <c r="O6" s="1" t="s">
        <v>107</v>
      </c>
      <c r="P6" s="3" t="s">
        <v>96</v>
      </c>
      <c r="Q6" s="3" t="s">
        <v>108</v>
      </c>
      <c r="R6" s="3" t="s">
        <v>110</v>
      </c>
      <c r="S6" s="3" t="s">
        <v>71</v>
      </c>
      <c r="T6" s="1">
        <v>36.0</v>
      </c>
      <c r="U6" s="7"/>
      <c r="V6" s="7"/>
      <c r="W6" s="3" t="s">
        <v>111</v>
      </c>
      <c r="X6" s="1" t="s">
        <v>112</v>
      </c>
      <c r="Y6" s="1">
        <v>100.0</v>
      </c>
      <c r="Z6" s="9" t="s">
        <v>113</v>
      </c>
    </row>
    <row r="7">
      <c r="A7" s="1">
        <v>2.0200694E7</v>
      </c>
      <c r="B7" s="1">
        <f>VLOOKUP(A7,'רשימת בקשות לעבור עליהם'!$A:$A,1,0)</f>
        <v>20200694</v>
      </c>
      <c r="C7" s="1" t="s">
        <v>58</v>
      </c>
      <c r="D7" s="3" t="s">
        <v>59</v>
      </c>
      <c r="E7" s="3" t="s">
        <v>35</v>
      </c>
      <c r="F7" s="3" t="s">
        <v>115</v>
      </c>
      <c r="G7" s="3" t="s">
        <v>61</v>
      </c>
      <c r="H7" s="1" t="s">
        <v>116</v>
      </c>
      <c r="I7" s="7"/>
      <c r="J7" s="1" t="s">
        <v>64</v>
      </c>
      <c r="K7" s="3" t="s">
        <v>65</v>
      </c>
      <c r="L7" s="3" t="s">
        <v>66</v>
      </c>
      <c r="M7" s="6">
        <v>46174.0</v>
      </c>
      <c r="N7" s="1" t="b">
        <v>1</v>
      </c>
      <c r="O7" s="1" t="s">
        <v>117</v>
      </c>
      <c r="P7" s="3" t="s">
        <v>96</v>
      </c>
      <c r="Q7" s="3" t="s">
        <v>119</v>
      </c>
      <c r="R7" s="3" t="s">
        <v>110</v>
      </c>
      <c r="S7" s="3" t="s">
        <v>71</v>
      </c>
      <c r="T7" s="1">
        <v>327.0</v>
      </c>
      <c r="U7" s="7"/>
      <c r="V7" s="7"/>
      <c r="W7" s="3" t="s">
        <v>120</v>
      </c>
      <c r="X7" s="1" t="s">
        <v>121</v>
      </c>
      <c r="Y7" s="1">
        <v>1.0</v>
      </c>
      <c r="Z7" s="9" t="s">
        <v>122</v>
      </c>
    </row>
    <row r="8" hidden="1">
      <c r="A8" s="1">
        <v>2.0200787E7</v>
      </c>
      <c r="B8" s="1">
        <f>VLOOKUP(A8,'רשימת בקשות לעבור עליהם'!$A:$A,1,0)</f>
        <v>20200787</v>
      </c>
      <c r="C8" s="1" t="s">
        <v>58</v>
      </c>
      <c r="D8" s="3" t="s">
        <v>59</v>
      </c>
      <c r="E8" s="3" t="s">
        <v>13</v>
      </c>
      <c r="F8" s="3" t="s">
        <v>125</v>
      </c>
      <c r="G8" s="3" t="s">
        <v>61</v>
      </c>
      <c r="H8" s="1" t="s">
        <v>126</v>
      </c>
      <c r="I8" s="1" t="s">
        <v>127</v>
      </c>
      <c r="J8" s="1" t="s">
        <v>64</v>
      </c>
      <c r="K8" s="3" t="s">
        <v>65</v>
      </c>
      <c r="L8" s="3" t="s">
        <v>66</v>
      </c>
      <c r="M8" s="1" t="s">
        <v>129</v>
      </c>
      <c r="N8" s="1" t="b">
        <v>1</v>
      </c>
      <c r="O8" s="1" t="s">
        <v>130</v>
      </c>
      <c r="P8" s="3" t="s">
        <v>68</v>
      </c>
      <c r="Q8" s="3" t="s">
        <v>131</v>
      </c>
      <c r="R8" s="3" t="s">
        <v>70</v>
      </c>
      <c r="S8" s="3" t="s">
        <v>98</v>
      </c>
      <c r="T8" s="1">
        <v>133.0</v>
      </c>
      <c r="U8" s="7"/>
      <c r="V8" s="7"/>
      <c r="W8" s="3" t="s">
        <v>132</v>
      </c>
      <c r="X8" s="1" t="s">
        <v>134</v>
      </c>
      <c r="Y8" s="1">
        <v>14.0</v>
      </c>
      <c r="Z8" s="9" t="s">
        <v>135</v>
      </c>
    </row>
    <row r="9">
      <c r="A9" s="1">
        <v>2.0210261E7</v>
      </c>
      <c r="B9" s="1">
        <f>VLOOKUP(A9,'רשימת בקשות לעבור עליהם'!$A:$A,1,0)</f>
        <v>20210261</v>
      </c>
      <c r="C9" s="1" t="s">
        <v>58</v>
      </c>
      <c r="D9" s="3" t="s">
        <v>59</v>
      </c>
      <c r="E9" s="3" t="s">
        <v>37</v>
      </c>
      <c r="F9" s="3" t="s">
        <v>137</v>
      </c>
      <c r="G9" s="3" t="s">
        <v>61</v>
      </c>
      <c r="H9" s="1" t="s">
        <v>138</v>
      </c>
      <c r="I9" s="3" t="s">
        <v>139</v>
      </c>
      <c r="J9" s="1" t="s">
        <v>64</v>
      </c>
      <c r="K9" s="3" t="s">
        <v>65</v>
      </c>
      <c r="L9" s="3" t="s">
        <v>66</v>
      </c>
      <c r="M9" s="1" t="s">
        <v>140</v>
      </c>
      <c r="N9" s="1" t="b">
        <v>1</v>
      </c>
      <c r="O9" s="1" t="s">
        <v>141</v>
      </c>
      <c r="P9" s="3" t="s">
        <v>96</v>
      </c>
      <c r="Q9" s="3" t="s">
        <v>142</v>
      </c>
      <c r="R9" s="3" t="s">
        <v>110</v>
      </c>
      <c r="S9" s="3" t="s">
        <v>98</v>
      </c>
      <c r="T9" s="1">
        <v>120.0</v>
      </c>
      <c r="U9" s="7"/>
      <c r="V9" s="7"/>
      <c r="W9" s="3" t="s">
        <v>143</v>
      </c>
      <c r="X9" s="1" t="s">
        <v>144</v>
      </c>
      <c r="Y9" s="1">
        <v>311.0</v>
      </c>
      <c r="Z9" s="9" t="s">
        <v>145</v>
      </c>
    </row>
    <row r="10">
      <c r="A10" s="1">
        <v>2.0210262E7</v>
      </c>
      <c r="B10" s="1">
        <f>VLOOKUP(A10,'רשימת בקשות לעבור עליהם'!$A:$A,1,0)</f>
        <v>20210262</v>
      </c>
      <c r="C10" s="1" t="s">
        <v>58</v>
      </c>
      <c r="D10" s="3" t="s">
        <v>59</v>
      </c>
      <c r="E10" s="3" t="s">
        <v>37</v>
      </c>
      <c r="F10" s="3" t="s">
        <v>137</v>
      </c>
      <c r="G10" s="3" t="s">
        <v>61</v>
      </c>
      <c r="H10" s="1" t="s">
        <v>138</v>
      </c>
      <c r="I10" s="3" t="s">
        <v>139</v>
      </c>
      <c r="J10" s="1" t="s">
        <v>64</v>
      </c>
      <c r="K10" s="3" t="s">
        <v>65</v>
      </c>
      <c r="L10" s="3" t="s">
        <v>66</v>
      </c>
      <c r="M10" s="6">
        <v>46149.0</v>
      </c>
      <c r="N10" s="1" t="b">
        <v>1</v>
      </c>
      <c r="O10" s="1" t="s">
        <v>141</v>
      </c>
      <c r="P10" s="3" t="s">
        <v>96</v>
      </c>
      <c r="Q10" s="3" t="s">
        <v>146</v>
      </c>
      <c r="R10" s="3" t="s">
        <v>110</v>
      </c>
      <c r="S10" s="3" t="s">
        <v>98</v>
      </c>
      <c r="T10" s="1">
        <v>206.0</v>
      </c>
      <c r="U10" s="7"/>
      <c r="V10" s="7"/>
      <c r="W10" s="3" t="s">
        <v>143</v>
      </c>
      <c r="X10" s="1" t="s">
        <v>147</v>
      </c>
      <c r="Y10" s="1">
        <v>114.0</v>
      </c>
      <c r="Z10" s="9" t="s">
        <v>148</v>
      </c>
    </row>
    <row r="11" hidden="1">
      <c r="A11" s="1">
        <v>2.0210732E7</v>
      </c>
      <c r="B11" s="1">
        <f>VLOOKUP(A11,'רשימת בקשות לעבור עליהם'!$A:$A,1,0)</f>
        <v>20210732</v>
      </c>
      <c r="C11" s="1" t="s">
        <v>58</v>
      </c>
      <c r="D11" s="3" t="s">
        <v>59</v>
      </c>
      <c r="E11" s="3" t="s">
        <v>17</v>
      </c>
      <c r="F11" s="3" t="s">
        <v>151</v>
      </c>
      <c r="G11" s="3" t="s">
        <v>61</v>
      </c>
      <c r="H11" s="1" t="s">
        <v>152</v>
      </c>
      <c r="I11" s="3" t="s">
        <v>153</v>
      </c>
      <c r="J11" s="1" t="s">
        <v>64</v>
      </c>
      <c r="K11" s="3" t="s">
        <v>65</v>
      </c>
      <c r="L11" s="3" t="s">
        <v>66</v>
      </c>
      <c r="M11" s="1" t="s">
        <v>155</v>
      </c>
      <c r="N11" s="1" t="b">
        <v>1</v>
      </c>
      <c r="O11" s="1" t="s">
        <v>156</v>
      </c>
      <c r="P11" s="3" t="s">
        <v>96</v>
      </c>
      <c r="Q11" s="3" t="s">
        <v>157</v>
      </c>
      <c r="R11" s="3" t="s">
        <v>70</v>
      </c>
      <c r="S11" s="3" t="s">
        <v>98</v>
      </c>
      <c r="T11" s="1">
        <v>180.0</v>
      </c>
      <c r="U11" s="7"/>
      <c r="V11" s="7"/>
      <c r="W11" s="3" t="s">
        <v>100</v>
      </c>
      <c r="X11" s="1" t="s">
        <v>159</v>
      </c>
      <c r="Y11" s="1">
        <v>305.0</v>
      </c>
      <c r="Z11" s="9" t="s">
        <v>160</v>
      </c>
    </row>
    <row r="12" hidden="1">
      <c r="A12" s="1">
        <v>2.0210746E7</v>
      </c>
      <c r="B12" s="1">
        <f>VLOOKUP(A12,'רשימת בקשות לעבור עליהם'!$A:$A,1,0)</f>
        <v>20210746</v>
      </c>
      <c r="C12" s="1" t="s">
        <v>58</v>
      </c>
      <c r="D12" s="3" t="s">
        <v>59</v>
      </c>
      <c r="E12" s="3" t="s">
        <v>20</v>
      </c>
      <c r="F12" s="3" t="s">
        <v>162</v>
      </c>
      <c r="G12" s="3" t="s">
        <v>61</v>
      </c>
      <c r="H12" s="1" t="s">
        <v>163</v>
      </c>
      <c r="I12" s="3" t="s">
        <v>164</v>
      </c>
      <c r="J12" s="1" t="s">
        <v>64</v>
      </c>
      <c r="K12" s="3" t="s">
        <v>65</v>
      </c>
      <c r="L12" s="3" t="s">
        <v>66</v>
      </c>
      <c r="M12" s="1" t="s">
        <v>166</v>
      </c>
      <c r="N12" s="1" t="b">
        <v>1</v>
      </c>
      <c r="O12" s="1" t="s">
        <v>167</v>
      </c>
      <c r="P12" s="3" t="s">
        <v>96</v>
      </c>
      <c r="Q12" s="3" t="s">
        <v>168</v>
      </c>
      <c r="R12" s="3" t="s">
        <v>70</v>
      </c>
      <c r="S12" s="3" t="s">
        <v>98</v>
      </c>
      <c r="T12" s="1">
        <v>24.0</v>
      </c>
      <c r="U12" s="7"/>
      <c r="V12" s="7"/>
      <c r="W12" s="3" t="s">
        <v>169</v>
      </c>
      <c r="X12" s="1" t="s">
        <v>170</v>
      </c>
      <c r="Y12" s="1">
        <v>203.0</v>
      </c>
      <c r="Z12" s="9" t="s">
        <v>172</v>
      </c>
    </row>
    <row r="13">
      <c r="A13" s="1">
        <v>2.0210795E7</v>
      </c>
      <c r="B13" s="1">
        <f>VLOOKUP(A13,'רשימת בקשות לעבור עליהם'!$A:$A,1,0)</f>
        <v>20210795</v>
      </c>
      <c r="C13" s="1" t="s">
        <v>58</v>
      </c>
      <c r="D13" s="3" t="s">
        <v>59</v>
      </c>
      <c r="E13" s="3" t="s">
        <v>20</v>
      </c>
      <c r="F13" s="3" t="s">
        <v>162</v>
      </c>
      <c r="G13" s="3" t="s">
        <v>61</v>
      </c>
      <c r="H13" s="1" t="s">
        <v>163</v>
      </c>
      <c r="I13" s="3" t="s">
        <v>164</v>
      </c>
      <c r="J13" s="1" t="s">
        <v>64</v>
      </c>
      <c r="K13" s="3" t="s">
        <v>65</v>
      </c>
      <c r="L13" s="3" t="s">
        <v>66</v>
      </c>
      <c r="M13" s="6">
        <v>46144.0</v>
      </c>
      <c r="N13" s="1" t="b">
        <v>1</v>
      </c>
      <c r="O13" s="1" t="s">
        <v>174</v>
      </c>
      <c r="P13" s="3" t="s">
        <v>96</v>
      </c>
      <c r="Q13" s="3" t="s">
        <v>175</v>
      </c>
      <c r="R13" s="3" t="s">
        <v>110</v>
      </c>
      <c r="S13" s="3" t="s">
        <v>98</v>
      </c>
      <c r="T13" s="1">
        <v>78.0</v>
      </c>
      <c r="U13" s="7"/>
      <c r="V13" s="7"/>
      <c r="W13" s="3" t="s">
        <v>169</v>
      </c>
      <c r="X13" s="1" t="s">
        <v>177</v>
      </c>
      <c r="Y13" s="1">
        <v>214.0</v>
      </c>
      <c r="Z13" s="9" t="s">
        <v>178</v>
      </c>
    </row>
    <row r="14" hidden="1">
      <c r="A14" s="1">
        <v>2.0220304E7</v>
      </c>
      <c r="B14" s="1">
        <f>VLOOKUP(A14,'רשימת בקשות לעבור עליהם'!$A:$A,1,0)</f>
        <v>20220304</v>
      </c>
      <c r="C14" s="1" t="s">
        <v>58</v>
      </c>
      <c r="D14" s="3" t="s">
        <v>59</v>
      </c>
      <c r="E14" s="3" t="s">
        <v>22</v>
      </c>
      <c r="F14" s="3" t="s">
        <v>180</v>
      </c>
      <c r="G14" s="3" t="s">
        <v>61</v>
      </c>
      <c r="H14" s="1" t="s">
        <v>181</v>
      </c>
      <c r="I14" s="3" t="s">
        <v>182</v>
      </c>
      <c r="J14" s="1" t="s">
        <v>64</v>
      </c>
      <c r="K14" s="3" t="s">
        <v>65</v>
      </c>
      <c r="L14" s="3" t="s">
        <v>66</v>
      </c>
      <c r="M14" s="6">
        <v>45813.0</v>
      </c>
      <c r="N14" s="1" t="b">
        <v>1</v>
      </c>
      <c r="O14" s="1" t="s">
        <v>183</v>
      </c>
      <c r="P14" s="3" t="s">
        <v>96</v>
      </c>
      <c r="Q14" s="3" t="s">
        <v>185</v>
      </c>
      <c r="R14" s="3" t="s">
        <v>70</v>
      </c>
      <c r="S14" s="3" t="s">
        <v>98</v>
      </c>
      <c r="T14" s="1">
        <v>90.0</v>
      </c>
      <c r="U14" s="7"/>
      <c r="V14" s="7"/>
      <c r="W14" s="3" t="s">
        <v>186</v>
      </c>
      <c r="X14" s="1" t="s">
        <v>187</v>
      </c>
      <c r="Y14" s="1">
        <v>3.0</v>
      </c>
      <c r="Z14" s="9" t="s">
        <v>188</v>
      </c>
    </row>
    <row r="15">
      <c r="A15" s="1">
        <v>2.0220379E7</v>
      </c>
      <c r="B15" s="1">
        <f>VLOOKUP(A15,'רשימת בקשות לעבור עליהם'!$A:$A,1,0)</f>
        <v>20220379</v>
      </c>
      <c r="C15" s="1" t="s">
        <v>58</v>
      </c>
      <c r="D15" s="3" t="s">
        <v>59</v>
      </c>
      <c r="E15" s="3" t="s">
        <v>39</v>
      </c>
      <c r="F15" s="3" t="s">
        <v>191</v>
      </c>
      <c r="G15" s="3" t="s">
        <v>61</v>
      </c>
      <c r="H15" s="8">
        <v>357606.0</v>
      </c>
      <c r="I15" s="1" t="s">
        <v>192</v>
      </c>
      <c r="J15" s="1" t="s">
        <v>64</v>
      </c>
      <c r="K15" s="3" t="s">
        <v>65</v>
      </c>
      <c r="L15" s="3" t="s">
        <v>66</v>
      </c>
      <c r="M15" s="1" t="s">
        <v>194</v>
      </c>
      <c r="N15" s="1" t="b">
        <v>1</v>
      </c>
      <c r="O15" s="6">
        <v>44567.0</v>
      </c>
      <c r="P15" s="3" t="s">
        <v>96</v>
      </c>
      <c r="Q15" s="3" t="s">
        <v>195</v>
      </c>
      <c r="R15" s="3" t="s">
        <v>196</v>
      </c>
      <c r="S15" s="3" t="s">
        <v>71</v>
      </c>
      <c r="T15" s="1">
        <v>109.0</v>
      </c>
      <c r="U15" s="7"/>
      <c r="V15" s="7"/>
      <c r="W15" s="3" t="s">
        <v>197</v>
      </c>
      <c r="X15" s="8">
        <v>357606.0</v>
      </c>
      <c r="Y15" s="1">
        <v>145.0</v>
      </c>
      <c r="Z15" s="9" t="s">
        <v>198</v>
      </c>
    </row>
    <row r="16">
      <c r="A16" s="1">
        <v>2.0220876E7</v>
      </c>
      <c r="B16" s="1">
        <f>VLOOKUP(A16,'רשימת בקשות לעבור עליהם'!$A:$A,1,0)</f>
        <v>20220876</v>
      </c>
      <c r="C16" s="1" t="s">
        <v>58</v>
      </c>
      <c r="D16" s="3" t="s">
        <v>59</v>
      </c>
      <c r="E16" s="3" t="s">
        <v>33</v>
      </c>
      <c r="F16" s="3" t="s">
        <v>104</v>
      </c>
      <c r="G16" s="3" t="s">
        <v>61</v>
      </c>
      <c r="H16" s="1" t="s">
        <v>105</v>
      </c>
      <c r="I16" s="7"/>
      <c r="J16" s="1" t="s">
        <v>64</v>
      </c>
      <c r="K16" s="3" t="s">
        <v>65</v>
      </c>
      <c r="L16" s="3" t="s">
        <v>66</v>
      </c>
      <c r="M16" s="1" t="s">
        <v>106</v>
      </c>
      <c r="N16" s="1" t="b">
        <v>1</v>
      </c>
      <c r="O16" s="6">
        <v>44754.0</v>
      </c>
      <c r="P16" s="3" t="s">
        <v>96</v>
      </c>
      <c r="Q16" s="3" t="s">
        <v>200</v>
      </c>
      <c r="R16" s="3" t="s">
        <v>110</v>
      </c>
      <c r="S16" s="3" t="s">
        <v>71</v>
      </c>
      <c r="T16" s="1">
        <v>36.0</v>
      </c>
      <c r="U16" s="7"/>
      <c r="V16" s="7"/>
      <c r="W16" s="3" t="s">
        <v>111</v>
      </c>
      <c r="X16" s="1" t="s">
        <v>112</v>
      </c>
      <c r="Y16" s="1">
        <v>100.0</v>
      </c>
      <c r="Z16" s="9" t="s">
        <v>202</v>
      </c>
    </row>
    <row r="17">
      <c r="A17" s="1">
        <v>2.0220878E7</v>
      </c>
      <c r="B17" s="1">
        <f>VLOOKUP(A17,'רשימת בקשות לעבור עליהם'!$A:$A,1,0)</f>
        <v>20220878</v>
      </c>
      <c r="C17" s="1" t="s">
        <v>58</v>
      </c>
      <c r="D17" s="3" t="s">
        <v>59</v>
      </c>
      <c r="E17" s="3" t="s">
        <v>33</v>
      </c>
      <c r="F17" s="3" t="s">
        <v>104</v>
      </c>
      <c r="G17" s="3" t="s">
        <v>61</v>
      </c>
      <c r="H17" s="1" t="s">
        <v>105</v>
      </c>
      <c r="I17" s="7"/>
      <c r="J17" s="1" t="s">
        <v>64</v>
      </c>
      <c r="K17" s="3" t="s">
        <v>65</v>
      </c>
      <c r="L17" s="3" t="s">
        <v>66</v>
      </c>
      <c r="M17" s="1" t="s">
        <v>204</v>
      </c>
      <c r="N17" s="1" t="b">
        <v>1</v>
      </c>
      <c r="O17" s="6">
        <v>44754.0</v>
      </c>
      <c r="P17" s="3" t="s">
        <v>96</v>
      </c>
      <c r="Q17" s="3" t="s">
        <v>205</v>
      </c>
      <c r="R17" s="3" t="s">
        <v>110</v>
      </c>
      <c r="S17" s="3" t="s">
        <v>71</v>
      </c>
      <c r="T17" s="1">
        <v>72.0</v>
      </c>
      <c r="U17" s="7"/>
      <c r="V17" s="7"/>
      <c r="W17" s="3" t="s">
        <v>111</v>
      </c>
      <c r="X17" s="1" t="s">
        <v>112</v>
      </c>
      <c r="Y17" s="1">
        <v>100.0</v>
      </c>
      <c r="Z17" s="9" t="s">
        <v>206</v>
      </c>
    </row>
    <row r="18">
      <c r="A18" s="1">
        <v>2.0220897E7</v>
      </c>
      <c r="B18" s="1">
        <f>VLOOKUP(A18,'רשימת בקשות לעבור עליהם'!$A:$A,1,0)</f>
        <v>20220897</v>
      </c>
      <c r="C18" s="1" t="s">
        <v>58</v>
      </c>
      <c r="D18" s="3" t="s">
        <v>59</v>
      </c>
      <c r="E18" s="3" t="s">
        <v>40</v>
      </c>
      <c r="F18" s="3" t="s">
        <v>207</v>
      </c>
      <c r="G18" s="3" t="s">
        <v>61</v>
      </c>
      <c r="H18" s="1" t="s">
        <v>208</v>
      </c>
      <c r="I18" s="7"/>
      <c r="J18" s="1" t="s">
        <v>64</v>
      </c>
      <c r="K18" s="3" t="s">
        <v>65</v>
      </c>
      <c r="L18" s="3" t="s">
        <v>66</v>
      </c>
      <c r="M18" s="1" t="s">
        <v>209</v>
      </c>
      <c r="N18" s="1" t="b">
        <v>1</v>
      </c>
      <c r="O18" s="1" t="s">
        <v>210</v>
      </c>
      <c r="P18" s="3" t="s">
        <v>96</v>
      </c>
      <c r="Q18" s="3" t="s">
        <v>211</v>
      </c>
      <c r="R18" s="3" t="s">
        <v>212</v>
      </c>
      <c r="S18" s="3" t="s">
        <v>213</v>
      </c>
      <c r="T18" s="1">
        <v>22.0</v>
      </c>
      <c r="U18" s="7"/>
      <c r="V18" s="7"/>
      <c r="W18" s="3" t="s">
        <v>214</v>
      </c>
      <c r="X18" s="8" t="s">
        <v>215</v>
      </c>
      <c r="Y18" s="7"/>
      <c r="Z18" s="9" t="s">
        <v>216</v>
      </c>
    </row>
    <row r="19">
      <c r="A19" s="1">
        <v>2.0230224E7</v>
      </c>
      <c r="B19" s="1">
        <f>VLOOKUP(A19,'רשימת בקשות לעבור עליהם'!$A:$A,1,0)</f>
        <v>20230224</v>
      </c>
      <c r="C19" s="1" t="s">
        <v>58</v>
      </c>
      <c r="D19" s="3" t="s">
        <v>59</v>
      </c>
      <c r="E19" s="3" t="s">
        <v>35</v>
      </c>
      <c r="F19" s="3" t="s">
        <v>115</v>
      </c>
      <c r="G19" s="3" t="s">
        <v>61</v>
      </c>
      <c r="H19" s="1" t="s">
        <v>116</v>
      </c>
      <c r="I19" s="7"/>
      <c r="J19" s="1" t="s">
        <v>64</v>
      </c>
      <c r="K19" s="3" t="s">
        <v>65</v>
      </c>
      <c r="L19" s="3" t="s">
        <v>66</v>
      </c>
      <c r="M19" s="1" t="s">
        <v>217</v>
      </c>
      <c r="N19" s="1" t="b">
        <v>1</v>
      </c>
      <c r="O19" s="6">
        <v>45049.0</v>
      </c>
      <c r="P19" s="3" t="s">
        <v>68</v>
      </c>
      <c r="Q19" s="3" t="s">
        <v>119</v>
      </c>
      <c r="R19" s="3" t="s">
        <v>110</v>
      </c>
      <c r="S19" s="3" t="s">
        <v>218</v>
      </c>
      <c r="T19" s="7"/>
      <c r="U19" s="7"/>
      <c r="V19" s="7"/>
      <c r="W19" s="3" t="s">
        <v>219</v>
      </c>
      <c r="X19" s="1" t="s">
        <v>121</v>
      </c>
      <c r="Y19" s="1">
        <v>1.0</v>
      </c>
      <c r="Z19" s="9" t="s">
        <v>220</v>
      </c>
    </row>
    <row r="20" hidden="1">
      <c r="A20" s="1">
        <v>2.0230313E7</v>
      </c>
      <c r="B20" s="1">
        <f>VLOOKUP(A20,'רשימת בקשות לעבור עליהם'!$A:$A,1,0)</f>
        <v>20230313</v>
      </c>
      <c r="C20" s="1" t="s">
        <v>58</v>
      </c>
      <c r="D20" s="3" t="s">
        <v>59</v>
      </c>
      <c r="E20" s="3" t="s">
        <v>23</v>
      </c>
      <c r="F20" s="3" t="s">
        <v>221</v>
      </c>
      <c r="G20" s="3" t="s">
        <v>61</v>
      </c>
      <c r="H20" s="1" t="s">
        <v>222</v>
      </c>
      <c r="I20" s="7"/>
      <c r="J20" s="1" t="s">
        <v>64</v>
      </c>
      <c r="K20" s="3" t="s">
        <v>223</v>
      </c>
      <c r="L20" s="3" t="s">
        <v>224</v>
      </c>
      <c r="M20" s="1" t="s">
        <v>225</v>
      </c>
      <c r="N20" s="1" t="b">
        <v>1</v>
      </c>
      <c r="O20" s="1" t="s">
        <v>226</v>
      </c>
      <c r="P20" s="3" t="s">
        <v>96</v>
      </c>
      <c r="Q20" s="3" t="s">
        <v>227</v>
      </c>
      <c r="R20" s="3" t="s">
        <v>70</v>
      </c>
      <c r="S20" s="3" t="s">
        <v>71</v>
      </c>
      <c r="T20" s="1">
        <v>16.0</v>
      </c>
      <c r="U20" s="7"/>
      <c r="V20" s="7"/>
      <c r="W20" s="3" t="s">
        <v>228</v>
      </c>
      <c r="X20" s="1" t="s">
        <v>222</v>
      </c>
      <c r="Y20" s="1">
        <v>396.0</v>
      </c>
      <c r="Z20" s="9" t="s">
        <v>229</v>
      </c>
    </row>
    <row r="21" hidden="1">
      <c r="A21" s="1">
        <v>2.0230593E7</v>
      </c>
      <c r="B21" s="1">
        <f>VLOOKUP(A21,'רשימת בקשות לעבור עליהם'!$A:$A,1,0)</f>
        <v>20230593</v>
      </c>
      <c r="C21" s="1" t="s">
        <v>58</v>
      </c>
      <c r="D21" s="3" t="s">
        <v>59</v>
      </c>
      <c r="E21" s="3" t="s">
        <v>24</v>
      </c>
      <c r="F21" s="3" t="s">
        <v>230</v>
      </c>
      <c r="G21" s="3" t="s">
        <v>61</v>
      </c>
      <c r="H21" s="1" t="s">
        <v>231</v>
      </c>
      <c r="I21" s="7"/>
      <c r="J21" s="1" t="s">
        <v>64</v>
      </c>
      <c r="K21" s="3" t="s">
        <v>223</v>
      </c>
      <c r="L21" s="3" t="s">
        <v>224</v>
      </c>
      <c r="M21" s="1" t="s">
        <v>232</v>
      </c>
      <c r="N21" s="1" t="b">
        <v>1</v>
      </c>
      <c r="O21" s="6">
        <v>45993.0</v>
      </c>
      <c r="P21" s="3" t="s">
        <v>96</v>
      </c>
      <c r="Q21" s="3" t="s">
        <v>233</v>
      </c>
      <c r="R21" s="3" t="s">
        <v>61</v>
      </c>
      <c r="S21" s="3" t="s">
        <v>234</v>
      </c>
      <c r="T21" s="7"/>
      <c r="U21" s="7"/>
      <c r="V21" s="7"/>
      <c r="W21" s="3" t="s">
        <v>235</v>
      </c>
      <c r="X21" s="1" t="s">
        <v>231</v>
      </c>
      <c r="Y21" s="1">
        <v>1102.0</v>
      </c>
      <c r="Z21" s="9" t="s">
        <v>236</v>
      </c>
    </row>
    <row r="22" hidden="1">
      <c r="A22" s="1">
        <v>2.0230759E7</v>
      </c>
      <c r="B22" s="1">
        <f>VLOOKUP(A22,'רשימת בקשות לעבור עליהם'!$A:$A,1,0)</f>
        <v>20230759</v>
      </c>
      <c r="C22" s="1" t="s">
        <v>58</v>
      </c>
      <c r="D22" s="3" t="s">
        <v>59</v>
      </c>
      <c r="E22" s="3" t="s">
        <v>25</v>
      </c>
      <c r="F22" s="3" t="s">
        <v>237</v>
      </c>
      <c r="G22" s="3" t="s">
        <v>61</v>
      </c>
      <c r="H22" s="1" t="s">
        <v>238</v>
      </c>
      <c r="I22" s="3" t="s">
        <v>239</v>
      </c>
      <c r="J22" s="1" t="s">
        <v>64</v>
      </c>
      <c r="K22" s="3" t="s">
        <v>65</v>
      </c>
      <c r="L22" s="3" t="s">
        <v>66</v>
      </c>
      <c r="M22" s="1" t="s">
        <v>240</v>
      </c>
      <c r="N22" s="1" t="b">
        <v>1</v>
      </c>
      <c r="O22" s="10">
        <v>45211.0</v>
      </c>
      <c r="P22" s="3" t="s">
        <v>96</v>
      </c>
      <c r="Q22" s="3" t="s">
        <v>241</v>
      </c>
      <c r="R22" s="3" t="s">
        <v>70</v>
      </c>
      <c r="S22" s="3" t="s">
        <v>98</v>
      </c>
      <c r="T22" s="1">
        <v>102.0</v>
      </c>
      <c r="U22" s="7"/>
      <c r="V22" s="7"/>
      <c r="W22" s="3" t="s">
        <v>242</v>
      </c>
      <c r="X22" s="1" t="s">
        <v>243</v>
      </c>
      <c r="Y22" s="1">
        <v>108.0</v>
      </c>
      <c r="Z22" s="9" t="s">
        <v>244</v>
      </c>
    </row>
    <row r="23">
      <c r="A23" s="1">
        <v>2.024029E7</v>
      </c>
      <c r="B23" s="1">
        <f>VLOOKUP(A23,'רשימת בקשות לעבור עליהם'!$A:$A,1,0)</f>
        <v>20240290</v>
      </c>
      <c r="C23" s="1" t="s">
        <v>58</v>
      </c>
      <c r="D23" s="3" t="s">
        <v>59</v>
      </c>
      <c r="E23" s="3" t="s">
        <v>43</v>
      </c>
      <c r="F23" s="3" t="s">
        <v>245</v>
      </c>
      <c r="G23" s="3" t="s">
        <v>61</v>
      </c>
      <c r="H23" s="1" t="s">
        <v>246</v>
      </c>
      <c r="I23" s="3" t="s">
        <v>247</v>
      </c>
      <c r="J23" s="1" t="s">
        <v>64</v>
      </c>
      <c r="K23" s="3" t="s">
        <v>223</v>
      </c>
      <c r="L23" s="3" t="s">
        <v>224</v>
      </c>
      <c r="M23" s="1" t="s">
        <v>248</v>
      </c>
      <c r="N23" s="1" t="b">
        <v>1</v>
      </c>
      <c r="O23" s="6">
        <v>45690.0</v>
      </c>
      <c r="P23" s="3" t="s">
        <v>96</v>
      </c>
      <c r="Q23" s="3" t="s">
        <v>249</v>
      </c>
      <c r="R23" s="3" t="s">
        <v>110</v>
      </c>
      <c r="S23" s="3" t="s">
        <v>98</v>
      </c>
      <c r="T23" s="1">
        <v>116.0</v>
      </c>
      <c r="U23" s="7"/>
      <c r="V23" s="7"/>
      <c r="W23" s="3" t="s">
        <v>250</v>
      </c>
      <c r="X23" s="1" t="s">
        <v>251</v>
      </c>
      <c r="Y23" s="1">
        <v>138.0</v>
      </c>
      <c r="Z23" s="9" t="s">
        <v>252</v>
      </c>
    </row>
    <row r="24">
      <c r="A24" s="1">
        <v>2.0240348E7</v>
      </c>
      <c r="B24" s="1">
        <f>VLOOKUP(A24,'רשימת בקשות לעבור עליהם'!$A:$A,1,0)</f>
        <v>20240348</v>
      </c>
      <c r="C24" s="1" t="s">
        <v>58</v>
      </c>
      <c r="D24" s="3" t="s">
        <v>59</v>
      </c>
      <c r="E24" s="3" t="s">
        <v>45</v>
      </c>
      <c r="F24" s="3" t="s">
        <v>253</v>
      </c>
      <c r="G24" s="3" t="s">
        <v>61</v>
      </c>
      <c r="H24" s="1" t="s">
        <v>254</v>
      </c>
      <c r="I24" s="3" t="s">
        <v>255</v>
      </c>
      <c r="J24" s="1" t="s">
        <v>64</v>
      </c>
      <c r="K24" s="3" t="s">
        <v>223</v>
      </c>
      <c r="L24" s="3" t="s">
        <v>224</v>
      </c>
      <c r="M24" s="1" t="s">
        <v>257</v>
      </c>
      <c r="N24" s="1" t="b">
        <v>1</v>
      </c>
      <c r="O24" s="1" t="s">
        <v>258</v>
      </c>
      <c r="P24" s="3" t="s">
        <v>96</v>
      </c>
      <c r="Q24" s="3" t="s">
        <v>260</v>
      </c>
      <c r="R24" s="3" t="s">
        <v>110</v>
      </c>
      <c r="S24" s="3" t="s">
        <v>98</v>
      </c>
      <c r="T24" s="1">
        <v>97.0</v>
      </c>
      <c r="U24" s="7"/>
      <c r="V24" s="7"/>
      <c r="W24" s="3" t="s">
        <v>263</v>
      </c>
      <c r="X24" s="1" t="s">
        <v>264</v>
      </c>
      <c r="Y24" s="1">
        <v>107.0</v>
      </c>
      <c r="Z24" s="9" t="s">
        <v>265</v>
      </c>
    </row>
    <row r="25">
      <c r="A25" s="1">
        <v>2.024065E7</v>
      </c>
      <c r="B25" s="1">
        <f>VLOOKUP(A25,'רשימת בקשות לעבור עליהם'!$A:$A,1,0)</f>
        <v>20240650</v>
      </c>
      <c r="C25" s="1" t="s">
        <v>58</v>
      </c>
      <c r="D25" s="3" t="s">
        <v>59</v>
      </c>
      <c r="E25" s="3" t="s">
        <v>48</v>
      </c>
      <c r="F25" s="3" t="s">
        <v>266</v>
      </c>
      <c r="G25" s="3" t="s">
        <v>61</v>
      </c>
      <c r="H25" s="1" t="s">
        <v>267</v>
      </c>
      <c r="I25" s="3" t="s">
        <v>268</v>
      </c>
      <c r="J25" s="1" t="s">
        <v>64</v>
      </c>
      <c r="K25" s="3" t="s">
        <v>223</v>
      </c>
      <c r="L25" s="3" t="s">
        <v>224</v>
      </c>
      <c r="M25" s="1" t="s">
        <v>269</v>
      </c>
      <c r="N25" s="1" t="b">
        <v>1</v>
      </c>
      <c r="O25" s="6">
        <v>45394.0</v>
      </c>
      <c r="P25" s="3" t="s">
        <v>96</v>
      </c>
      <c r="Q25" s="3" t="s">
        <v>270</v>
      </c>
      <c r="R25" s="3" t="s">
        <v>196</v>
      </c>
      <c r="S25" s="3" t="s">
        <v>98</v>
      </c>
      <c r="T25" s="1">
        <v>112.0</v>
      </c>
      <c r="U25" s="7"/>
      <c r="V25" s="7"/>
      <c r="W25" s="3" t="s">
        <v>271</v>
      </c>
      <c r="X25" s="1" t="s">
        <v>272</v>
      </c>
      <c r="Y25" s="1">
        <v>105.0</v>
      </c>
      <c r="Z25" s="9" t="s">
        <v>273</v>
      </c>
    </row>
    <row r="26">
      <c r="A26" s="1">
        <v>2.0240697E7</v>
      </c>
      <c r="B26" s="1">
        <f>VLOOKUP(A26,'רשימת בקשות לעבור עליהם'!$A:$A,1,0)</f>
        <v>20240697</v>
      </c>
      <c r="C26" s="1" t="s">
        <v>58</v>
      </c>
      <c r="D26" s="3" t="s">
        <v>59</v>
      </c>
      <c r="E26" s="3" t="s">
        <v>50</v>
      </c>
      <c r="F26" s="3" t="s">
        <v>274</v>
      </c>
      <c r="G26" s="3" t="s">
        <v>61</v>
      </c>
      <c r="H26" s="1" t="s">
        <v>275</v>
      </c>
      <c r="I26" s="3" t="s">
        <v>276</v>
      </c>
      <c r="J26" s="1" t="s">
        <v>64</v>
      </c>
      <c r="K26" s="3" t="s">
        <v>277</v>
      </c>
      <c r="L26" s="3" t="s">
        <v>223</v>
      </c>
      <c r="M26" s="1" t="s">
        <v>278</v>
      </c>
      <c r="N26" s="1" t="b">
        <v>1</v>
      </c>
      <c r="O26" s="1" t="s">
        <v>279</v>
      </c>
      <c r="P26" s="3" t="s">
        <v>96</v>
      </c>
      <c r="Q26" s="3" t="s">
        <v>270</v>
      </c>
      <c r="R26" s="3" t="s">
        <v>70</v>
      </c>
      <c r="S26" s="3" t="s">
        <v>98</v>
      </c>
      <c r="T26" s="1">
        <v>130.0</v>
      </c>
      <c r="U26" s="7"/>
      <c r="V26" s="7"/>
      <c r="W26" s="3" t="s">
        <v>280</v>
      </c>
      <c r="X26" s="1" t="s">
        <v>281</v>
      </c>
      <c r="Y26" s="1">
        <v>201.0</v>
      </c>
      <c r="Z26" s="9" t="s">
        <v>282</v>
      </c>
    </row>
    <row r="27">
      <c r="A27" s="1">
        <v>2.0240698E7</v>
      </c>
      <c r="B27" s="1">
        <f>VLOOKUP(A27,'רשימת בקשות לעבור עליהם'!$A:$A,1,0)</f>
        <v>20240698</v>
      </c>
      <c r="C27" s="1" t="s">
        <v>58</v>
      </c>
      <c r="D27" s="3" t="s">
        <v>59</v>
      </c>
      <c r="E27" s="3" t="s">
        <v>50</v>
      </c>
      <c r="F27" s="3" t="s">
        <v>274</v>
      </c>
      <c r="G27" s="3" t="s">
        <v>61</v>
      </c>
      <c r="H27" s="1" t="s">
        <v>275</v>
      </c>
      <c r="I27" s="3" t="s">
        <v>276</v>
      </c>
      <c r="J27" s="1" t="s">
        <v>64</v>
      </c>
      <c r="K27" s="3" t="s">
        <v>277</v>
      </c>
      <c r="L27" s="3" t="s">
        <v>223</v>
      </c>
      <c r="M27" s="1" t="s">
        <v>278</v>
      </c>
      <c r="N27" s="1" t="b">
        <v>1</v>
      </c>
      <c r="O27" s="1" t="s">
        <v>279</v>
      </c>
      <c r="P27" s="3" t="s">
        <v>96</v>
      </c>
      <c r="Q27" s="3" t="s">
        <v>270</v>
      </c>
      <c r="R27" s="3" t="s">
        <v>70</v>
      </c>
      <c r="S27" s="3" t="s">
        <v>98</v>
      </c>
      <c r="T27" s="7"/>
      <c r="U27" s="7"/>
      <c r="V27" s="7"/>
      <c r="W27" s="3" t="s">
        <v>280</v>
      </c>
      <c r="X27" s="1" t="s">
        <v>283</v>
      </c>
      <c r="Y27" s="1">
        <v>200.0</v>
      </c>
      <c r="Z27" s="9" t="s">
        <v>284</v>
      </c>
    </row>
    <row r="28">
      <c r="A28" s="1">
        <v>2.0250098E7</v>
      </c>
      <c r="B28" s="1">
        <f>VLOOKUP(A28,'רשימת בקשות לעבור עליהם'!$A:$A,1,0)</f>
        <v>20250098</v>
      </c>
      <c r="C28" s="1" t="s">
        <v>58</v>
      </c>
      <c r="D28" s="3" t="s">
        <v>59</v>
      </c>
      <c r="E28" s="3" t="s">
        <v>51</v>
      </c>
      <c r="F28" s="3" t="s">
        <v>285</v>
      </c>
      <c r="G28" s="3" t="s">
        <v>61</v>
      </c>
      <c r="H28" s="1" t="s">
        <v>286</v>
      </c>
      <c r="I28" s="3" t="s">
        <v>287</v>
      </c>
      <c r="J28" s="1" t="s">
        <v>64</v>
      </c>
      <c r="K28" s="3" t="s">
        <v>223</v>
      </c>
      <c r="L28" s="3" t="s">
        <v>224</v>
      </c>
      <c r="M28" s="1" t="s">
        <v>288</v>
      </c>
      <c r="N28" s="1" t="b">
        <v>1</v>
      </c>
      <c r="O28" s="1" t="s">
        <v>289</v>
      </c>
      <c r="P28" s="3" t="s">
        <v>68</v>
      </c>
      <c r="Q28" s="3" t="s">
        <v>290</v>
      </c>
      <c r="R28" s="3" t="s">
        <v>110</v>
      </c>
      <c r="S28" s="3" t="s">
        <v>98</v>
      </c>
      <c r="T28" s="1">
        <v>104.0</v>
      </c>
      <c r="U28" s="7"/>
      <c r="V28" s="7"/>
      <c r="W28" s="3" t="s">
        <v>291</v>
      </c>
      <c r="X28" s="1" t="s">
        <v>292</v>
      </c>
      <c r="Y28" s="1">
        <v>117.0</v>
      </c>
      <c r="Z28" s="9" t="s">
        <v>293</v>
      </c>
    </row>
    <row r="29">
      <c r="A29" s="1">
        <v>2.0250129E7</v>
      </c>
      <c r="B29" s="1">
        <f>VLOOKUP(A29,'רשימת בקשות לעבור עליהם'!$A:$A,1,0)</f>
        <v>20250129</v>
      </c>
      <c r="C29" s="1" t="s">
        <v>58</v>
      </c>
      <c r="D29" s="3" t="s">
        <v>59</v>
      </c>
      <c r="E29" s="3" t="s">
        <v>52</v>
      </c>
      <c r="F29" s="3" t="s">
        <v>296</v>
      </c>
      <c r="G29" s="3" t="s">
        <v>61</v>
      </c>
      <c r="H29" s="1" t="s">
        <v>297</v>
      </c>
      <c r="I29" s="3" t="s">
        <v>298</v>
      </c>
      <c r="J29" s="1" t="s">
        <v>64</v>
      </c>
      <c r="K29" s="3" t="s">
        <v>223</v>
      </c>
      <c r="L29" s="3" t="s">
        <v>224</v>
      </c>
      <c r="M29" s="1" t="s">
        <v>300</v>
      </c>
      <c r="N29" s="1" t="b">
        <v>1</v>
      </c>
      <c r="O29" s="6">
        <v>45933.0</v>
      </c>
      <c r="P29" s="3" t="s">
        <v>96</v>
      </c>
      <c r="Q29" s="3" t="s">
        <v>270</v>
      </c>
      <c r="R29" s="3" t="s">
        <v>110</v>
      </c>
      <c r="S29" s="3" t="s">
        <v>98</v>
      </c>
      <c r="T29" s="1">
        <v>104.0</v>
      </c>
      <c r="U29" s="7"/>
      <c r="V29" s="7"/>
      <c r="W29" s="3" t="s">
        <v>304</v>
      </c>
      <c r="X29" s="1" t="s">
        <v>305</v>
      </c>
      <c r="Y29" s="1">
        <v>100.0</v>
      </c>
      <c r="Z29" s="9" t="s">
        <v>306</v>
      </c>
    </row>
    <row r="30">
      <c r="A30" s="1">
        <v>2.0250232E7</v>
      </c>
      <c r="B30" s="1">
        <f>VLOOKUP(A30,'רשימת בקשות לעבור עליהם'!$A:$A,1,0)</f>
        <v>20250232</v>
      </c>
      <c r="C30" s="1" t="s">
        <v>58</v>
      </c>
      <c r="D30" s="3" t="s">
        <v>59</v>
      </c>
      <c r="E30" s="3" t="s">
        <v>53</v>
      </c>
      <c r="F30" s="3" t="s">
        <v>309</v>
      </c>
      <c r="G30" s="3" t="s">
        <v>61</v>
      </c>
      <c r="H30" s="1" t="s">
        <v>310</v>
      </c>
      <c r="I30" s="3" t="s">
        <v>311</v>
      </c>
      <c r="J30" s="1" t="s">
        <v>64</v>
      </c>
      <c r="K30" s="3" t="s">
        <v>223</v>
      </c>
      <c r="L30" s="3" t="s">
        <v>224</v>
      </c>
      <c r="M30" s="1" t="s">
        <v>313</v>
      </c>
      <c r="N30" s="1" t="b">
        <v>1</v>
      </c>
      <c r="O30" s="1" t="s">
        <v>315</v>
      </c>
      <c r="P30" s="3" t="s">
        <v>68</v>
      </c>
      <c r="Q30" s="3" t="s">
        <v>316</v>
      </c>
      <c r="R30" s="3" t="s">
        <v>110</v>
      </c>
      <c r="S30" s="3" t="s">
        <v>317</v>
      </c>
      <c r="T30" s="1">
        <v>180.0</v>
      </c>
      <c r="U30" s="7"/>
      <c r="V30" s="7"/>
      <c r="W30" s="3" t="s">
        <v>169</v>
      </c>
      <c r="X30" s="1" t="s">
        <v>319</v>
      </c>
      <c r="Y30" s="1">
        <v>106.0</v>
      </c>
      <c r="Z30" s="9" t="s">
        <v>320</v>
      </c>
    </row>
    <row r="31" hidden="1">
      <c r="A31" s="1">
        <v>2.0250262E7</v>
      </c>
      <c r="B31" s="1">
        <f>VLOOKUP(A31,'רשימת בקשות לעבור עליהם'!$A:$A,1,0)</f>
        <v>20250262</v>
      </c>
      <c r="C31" s="1" t="s">
        <v>58</v>
      </c>
      <c r="D31" s="3" t="s">
        <v>59</v>
      </c>
      <c r="E31" s="3" t="s">
        <v>27</v>
      </c>
      <c r="F31" s="3" t="s">
        <v>321</v>
      </c>
      <c r="G31" s="3" t="s">
        <v>61</v>
      </c>
      <c r="H31" s="1" t="s">
        <v>322</v>
      </c>
      <c r="I31" s="3" t="s">
        <v>323</v>
      </c>
      <c r="J31" s="1" t="s">
        <v>64</v>
      </c>
      <c r="K31" s="3" t="s">
        <v>68</v>
      </c>
      <c r="L31" s="3" t="s">
        <v>223</v>
      </c>
      <c r="M31" s="6">
        <v>46329.0</v>
      </c>
      <c r="N31" s="1" t="b">
        <v>1</v>
      </c>
      <c r="O31" s="6">
        <v>45875.0</v>
      </c>
      <c r="P31" s="3" t="s">
        <v>68</v>
      </c>
      <c r="Q31" s="3" t="s">
        <v>324</v>
      </c>
      <c r="R31" s="3" t="s">
        <v>70</v>
      </c>
      <c r="S31" s="3" t="s">
        <v>98</v>
      </c>
      <c r="T31" s="1">
        <v>90.0</v>
      </c>
      <c r="U31" s="7"/>
      <c r="V31" s="7"/>
      <c r="W31" s="3" t="s">
        <v>169</v>
      </c>
      <c r="X31" s="1" t="s">
        <v>325</v>
      </c>
      <c r="Y31" s="1">
        <v>13.0</v>
      </c>
      <c r="Z31" s="9" t="s">
        <v>326</v>
      </c>
    </row>
    <row r="32" hidden="1">
      <c r="A32" s="1">
        <v>2.0250266E7</v>
      </c>
      <c r="B32" s="1">
        <f>VLOOKUP(A32,'רשימת בקשות לעבור עליהם'!$A:$A,1,0)</f>
        <v>20250266</v>
      </c>
      <c r="C32" s="1" t="s">
        <v>58</v>
      </c>
      <c r="D32" s="3" t="s">
        <v>59</v>
      </c>
      <c r="E32" s="3" t="s">
        <v>29</v>
      </c>
      <c r="F32" s="3" t="s">
        <v>327</v>
      </c>
      <c r="G32" s="3" t="s">
        <v>61</v>
      </c>
      <c r="H32" s="1" t="s">
        <v>328</v>
      </c>
      <c r="I32" s="3" t="s">
        <v>329</v>
      </c>
      <c r="J32" s="1" t="s">
        <v>64</v>
      </c>
      <c r="K32" s="3" t="s">
        <v>223</v>
      </c>
      <c r="L32" s="3" t="s">
        <v>224</v>
      </c>
      <c r="M32" s="6">
        <v>46271.0</v>
      </c>
      <c r="N32" s="1" t="b">
        <v>1</v>
      </c>
      <c r="O32" s="6">
        <v>45875.0</v>
      </c>
      <c r="P32" s="3" t="s">
        <v>68</v>
      </c>
      <c r="Q32" s="3" t="s">
        <v>270</v>
      </c>
      <c r="R32" s="3" t="s">
        <v>70</v>
      </c>
      <c r="S32" s="3" t="s">
        <v>98</v>
      </c>
      <c r="T32" s="1">
        <v>128.0</v>
      </c>
      <c r="U32" s="7"/>
      <c r="V32" s="7"/>
      <c r="W32" s="3" t="s">
        <v>330</v>
      </c>
      <c r="X32" s="1" t="s">
        <v>331</v>
      </c>
      <c r="Y32" s="1">
        <v>120.0</v>
      </c>
      <c r="Z32" s="9" t="s">
        <v>332</v>
      </c>
    </row>
    <row r="33">
      <c r="A33" s="1">
        <v>2.0250354E7</v>
      </c>
      <c r="B33" s="1">
        <f>VLOOKUP(A33,'רשימת בקשות לעבור עליהם'!$A:$A,1,0)</f>
        <v>20250354</v>
      </c>
      <c r="C33" s="1" t="s">
        <v>58</v>
      </c>
      <c r="D33" s="3" t="s">
        <v>59</v>
      </c>
      <c r="E33" s="3" t="s">
        <v>54</v>
      </c>
      <c r="F33" s="3" t="s">
        <v>333</v>
      </c>
      <c r="G33" s="3" t="s">
        <v>61</v>
      </c>
      <c r="H33" s="1" t="s">
        <v>334</v>
      </c>
      <c r="I33" s="3" t="s">
        <v>335</v>
      </c>
      <c r="J33" s="1" t="s">
        <v>64</v>
      </c>
      <c r="K33" s="3" t="s">
        <v>68</v>
      </c>
      <c r="L33" s="3" t="s">
        <v>223</v>
      </c>
      <c r="M33" s="6">
        <v>46329.0</v>
      </c>
      <c r="N33" s="1" t="b">
        <v>1</v>
      </c>
      <c r="O33" s="1" t="s">
        <v>336</v>
      </c>
      <c r="P33" s="3" t="s">
        <v>96</v>
      </c>
      <c r="Q33" s="3" t="s">
        <v>337</v>
      </c>
      <c r="R33" s="3" t="s">
        <v>110</v>
      </c>
      <c r="S33" s="3" t="s">
        <v>98</v>
      </c>
      <c r="T33" s="1">
        <v>108.0</v>
      </c>
      <c r="U33" s="7"/>
      <c r="V33" s="7"/>
      <c r="W33" s="3" t="s">
        <v>338</v>
      </c>
      <c r="X33" s="1" t="s">
        <v>339</v>
      </c>
      <c r="Y33" s="1">
        <v>104.0</v>
      </c>
      <c r="Z33" s="9" t="s">
        <v>340</v>
      </c>
    </row>
    <row r="34">
      <c r="A34" s="1">
        <v>2.0250355E7</v>
      </c>
      <c r="B34" s="1">
        <f>VLOOKUP(A34,'רשימת בקשות לעבור עליהם'!$A:$A,1,0)</f>
        <v>20250355</v>
      </c>
      <c r="C34" s="1" t="s">
        <v>58</v>
      </c>
      <c r="D34" s="3" t="s">
        <v>59</v>
      </c>
      <c r="E34" s="3" t="s">
        <v>54</v>
      </c>
      <c r="F34" s="3" t="s">
        <v>333</v>
      </c>
      <c r="G34" s="3" t="s">
        <v>61</v>
      </c>
      <c r="H34" s="1" t="s">
        <v>334</v>
      </c>
      <c r="I34" s="3" t="s">
        <v>335</v>
      </c>
      <c r="J34" s="1" t="s">
        <v>64</v>
      </c>
      <c r="K34" s="3" t="s">
        <v>68</v>
      </c>
      <c r="L34" s="3" t="s">
        <v>223</v>
      </c>
      <c r="M34" s="6">
        <v>46329.0</v>
      </c>
      <c r="N34" s="1" t="b">
        <v>1</v>
      </c>
      <c r="O34" s="1" t="s">
        <v>336</v>
      </c>
      <c r="P34" s="3" t="s">
        <v>96</v>
      </c>
      <c r="Q34" s="3" t="s">
        <v>341</v>
      </c>
      <c r="R34" s="3" t="s">
        <v>110</v>
      </c>
      <c r="S34" s="3" t="s">
        <v>98</v>
      </c>
      <c r="T34" s="1">
        <v>108.0</v>
      </c>
      <c r="U34" s="7"/>
      <c r="V34" s="7"/>
      <c r="W34" s="3" t="s">
        <v>338</v>
      </c>
      <c r="X34" s="1" t="s">
        <v>342</v>
      </c>
      <c r="Y34" s="1">
        <v>105.0</v>
      </c>
      <c r="Z34" s="9" t="s">
        <v>343</v>
      </c>
    </row>
    <row r="35" hidden="1">
      <c r="A35" s="1">
        <v>2.0250376E7</v>
      </c>
      <c r="B35" s="1">
        <f>VLOOKUP(A35,'רשימת בקשות לעבור עליהם'!$A:$A,1,0)</f>
        <v>20250376</v>
      </c>
      <c r="C35" s="1" t="s">
        <v>344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1" t="b">
        <v>1</v>
      </c>
      <c r="O35" s="6">
        <v>45785.0</v>
      </c>
      <c r="P35" s="3" t="s">
        <v>68</v>
      </c>
      <c r="Q35" s="3" t="s">
        <v>345</v>
      </c>
      <c r="R35" s="3" t="s">
        <v>61</v>
      </c>
      <c r="S35" s="3" t="s">
        <v>346</v>
      </c>
      <c r="T35" s="1">
        <v>93.0</v>
      </c>
      <c r="U35" s="7"/>
      <c r="V35" s="7"/>
      <c r="W35" s="3" t="s">
        <v>347</v>
      </c>
      <c r="X35" s="1" t="s">
        <v>348</v>
      </c>
      <c r="Y35" s="1">
        <v>23.0</v>
      </c>
      <c r="Z35" s="9" t="s">
        <v>349</v>
      </c>
    </row>
    <row r="36" hidden="1">
      <c r="A36" s="1">
        <v>2.0250397E7</v>
      </c>
      <c r="B36" s="1">
        <f>VLOOKUP(A36,'רשימת בקשות לעבור עליהם'!$A:$A,1,0)</f>
        <v>20250397</v>
      </c>
      <c r="C36" s="1" t="s">
        <v>344</v>
      </c>
      <c r="D36" s="7"/>
      <c r="E36" s="7"/>
      <c r="F36" s="7"/>
      <c r="G36" s="7"/>
      <c r="H36" s="7"/>
      <c r="I36" s="7"/>
      <c r="J36" s="7"/>
      <c r="K36" s="7"/>
      <c r="L36" s="3" t="s">
        <v>224</v>
      </c>
      <c r="M36" s="6">
        <v>46147.0</v>
      </c>
      <c r="N36" s="1" t="b">
        <v>1</v>
      </c>
      <c r="O36" s="1" t="s">
        <v>350</v>
      </c>
      <c r="P36" s="3" t="s">
        <v>68</v>
      </c>
      <c r="Q36" s="3" t="s">
        <v>351</v>
      </c>
      <c r="R36" s="3" t="s">
        <v>352</v>
      </c>
      <c r="S36" s="3" t="s">
        <v>218</v>
      </c>
      <c r="T36" s="7"/>
      <c r="U36" s="7"/>
      <c r="V36" s="7"/>
      <c r="W36" s="3" t="s">
        <v>353</v>
      </c>
      <c r="X36" s="1" t="s">
        <v>354</v>
      </c>
      <c r="Y36" s="1">
        <v>273.0</v>
      </c>
      <c r="Z36" s="9" t="s">
        <v>355</v>
      </c>
    </row>
    <row r="37" hidden="1">
      <c r="A37" s="1">
        <v>2.0250409E7</v>
      </c>
      <c r="B37" s="1">
        <f>VLOOKUP(A37,'רשימת בקשות לעבור עליהם'!$A:$A,1,0)</f>
        <v>20250409</v>
      </c>
      <c r="C37" s="1" t="s">
        <v>344</v>
      </c>
      <c r="D37" s="7"/>
      <c r="E37" s="7"/>
      <c r="F37" s="7"/>
      <c r="G37" s="7"/>
      <c r="H37" s="7"/>
      <c r="I37" s="7"/>
      <c r="J37" s="7"/>
      <c r="K37" s="7"/>
      <c r="L37" s="3" t="s">
        <v>224</v>
      </c>
      <c r="M37" s="6">
        <v>46113.0</v>
      </c>
      <c r="N37" s="1" t="b">
        <v>1</v>
      </c>
      <c r="O37" s="1" t="s">
        <v>299</v>
      </c>
      <c r="P37" s="3" t="s">
        <v>68</v>
      </c>
      <c r="Q37" s="3" t="s">
        <v>359</v>
      </c>
      <c r="R37" s="3" t="s">
        <v>352</v>
      </c>
      <c r="S37" s="3" t="s">
        <v>218</v>
      </c>
      <c r="T37" s="7"/>
      <c r="U37" s="7"/>
      <c r="V37" s="7"/>
      <c r="W37" s="3" t="s">
        <v>361</v>
      </c>
      <c r="X37" s="1" t="s">
        <v>362</v>
      </c>
      <c r="Y37" s="1">
        <v>28.0</v>
      </c>
      <c r="Z37" s="9" t="s">
        <v>364</v>
      </c>
    </row>
    <row r="38" hidden="1">
      <c r="A38" s="1">
        <v>2.0250437E7</v>
      </c>
      <c r="B38" s="1">
        <f>VLOOKUP(A38,'רשימת בקשות לעבור עליהם'!$A:$A,1,0)</f>
        <v>20250437</v>
      </c>
      <c r="C38" s="1" t="s">
        <v>58</v>
      </c>
      <c r="D38" s="3" t="s">
        <v>59</v>
      </c>
      <c r="E38" s="3" t="s">
        <v>31</v>
      </c>
      <c r="F38" s="3" t="s">
        <v>366</v>
      </c>
      <c r="G38" s="3" t="s">
        <v>61</v>
      </c>
      <c r="H38" s="1" t="s">
        <v>367</v>
      </c>
      <c r="I38" s="3" t="s">
        <v>369</v>
      </c>
      <c r="J38" s="1" t="s">
        <v>64</v>
      </c>
      <c r="K38" s="3" t="s">
        <v>68</v>
      </c>
      <c r="L38" s="3" t="s">
        <v>223</v>
      </c>
      <c r="M38" s="6">
        <v>46329.0</v>
      </c>
      <c r="N38" s="1" t="b">
        <v>1</v>
      </c>
      <c r="O38" s="6">
        <v>45970.0</v>
      </c>
      <c r="P38" s="3" t="s">
        <v>68</v>
      </c>
      <c r="Q38" s="3" t="s">
        <v>372</v>
      </c>
      <c r="R38" s="3" t="s">
        <v>70</v>
      </c>
      <c r="S38" s="3" t="s">
        <v>98</v>
      </c>
      <c r="T38" s="7"/>
      <c r="U38" s="7"/>
      <c r="V38" s="7"/>
      <c r="W38" s="3" t="s">
        <v>373</v>
      </c>
      <c r="X38" s="1" t="s">
        <v>374</v>
      </c>
      <c r="Y38" s="1">
        <v>106.0</v>
      </c>
      <c r="Z38" s="9" t="s">
        <v>375</v>
      </c>
    </row>
    <row r="39">
      <c r="A39" s="1">
        <v>2.0250477E7</v>
      </c>
      <c r="B39" s="1">
        <f>VLOOKUP(A39,'רשימת בקשות לעבור עליהם'!$A:$A,1,0)</f>
        <v>20250477</v>
      </c>
      <c r="C39" s="1" t="s">
        <v>58</v>
      </c>
      <c r="D39" s="3" t="s">
        <v>59</v>
      </c>
      <c r="E39" s="3" t="s">
        <v>31</v>
      </c>
      <c r="F39" s="3" t="s">
        <v>366</v>
      </c>
      <c r="G39" s="3" t="s">
        <v>61</v>
      </c>
      <c r="H39" s="1" t="s">
        <v>367</v>
      </c>
      <c r="I39" s="3" t="s">
        <v>369</v>
      </c>
      <c r="J39" s="1" t="s">
        <v>64</v>
      </c>
      <c r="K39" s="3" t="s">
        <v>68</v>
      </c>
      <c r="L39" s="3" t="s">
        <v>223</v>
      </c>
      <c r="M39" s="6">
        <v>46329.0</v>
      </c>
      <c r="N39" s="1" t="b">
        <v>1</v>
      </c>
      <c r="O39" s="1" t="s">
        <v>379</v>
      </c>
      <c r="P39" s="3" t="s">
        <v>68</v>
      </c>
      <c r="Q39" s="3" t="s">
        <v>381</v>
      </c>
      <c r="R39" s="3" t="s">
        <v>110</v>
      </c>
      <c r="S39" s="3" t="s">
        <v>98</v>
      </c>
      <c r="T39" s="1">
        <v>104.0</v>
      </c>
      <c r="U39" s="7"/>
      <c r="V39" s="7"/>
      <c r="W39" s="3" t="s">
        <v>382</v>
      </c>
      <c r="X39" s="1" t="s">
        <v>383</v>
      </c>
      <c r="Y39" s="1">
        <v>102.0</v>
      </c>
      <c r="Z39" s="9" t="s">
        <v>384</v>
      </c>
    </row>
    <row r="40">
      <c r="A40" s="1">
        <v>2.0250514E7</v>
      </c>
      <c r="B40" s="1">
        <f>VLOOKUP(A40,'רשימת בקשות לעבור עליהם'!$A:$A,1,0)</f>
        <v>20250514</v>
      </c>
      <c r="C40" s="1" t="s">
        <v>344</v>
      </c>
      <c r="D40" s="7"/>
      <c r="E40" s="7"/>
      <c r="F40" s="7"/>
      <c r="G40" s="7"/>
      <c r="H40" s="7"/>
      <c r="I40" s="7"/>
      <c r="J40" s="7"/>
      <c r="K40" s="7"/>
      <c r="L40" s="3" t="s">
        <v>224</v>
      </c>
      <c r="M40" s="1" t="s">
        <v>386</v>
      </c>
      <c r="N40" s="1" t="b">
        <v>1</v>
      </c>
      <c r="O40" s="1" t="s">
        <v>387</v>
      </c>
      <c r="P40" s="3" t="s">
        <v>68</v>
      </c>
      <c r="Q40" s="3" t="s">
        <v>388</v>
      </c>
      <c r="R40" s="3" t="s">
        <v>389</v>
      </c>
      <c r="S40" s="3" t="s">
        <v>218</v>
      </c>
      <c r="T40" s="7"/>
      <c r="U40" s="7"/>
      <c r="V40" s="7"/>
      <c r="W40" s="3" t="s">
        <v>390</v>
      </c>
      <c r="X40" s="1" t="s">
        <v>391</v>
      </c>
      <c r="Y40" s="1">
        <v>83.0</v>
      </c>
      <c r="Z40" s="9" t="s">
        <v>392</v>
      </c>
    </row>
    <row r="41" hidden="1">
      <c r="A41" s="1">
        <v>2.0250609E7</v>
      </c>
      <c r="B41" s="1">
        <f>VLOOKUP(A41,'רשימת בקשות לעבור עליהם'!$A:$A,1,0)</f>
        <v>20250609</v>
      </c>
      <c r="C41" s="1" t="s">
        <v>344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1" t="b">
        <v>1</v>
      </c>
      <c r="O41" s="1" t="s">
        <v>395</v>
      </c>
      <c r="P41" s="3" t="s">
        <v>96</v>
      </c>
      <c r="Q41" s="3" t="s">
        <v>397</v>
      </c>
      <c r="R41" s="3" t="s">
        <v>352</v>
      </c>
      <c r="S41" s="3" t="s">
        <v>218</v>
      </c>
      <c r="T41" s="7"/>
      <c r="U41" s="7"/>
      <c r="V41" s="7"/>
      <c r="W41" s="3" t="s">
        <v>398</v>
      </c>
      <c r="X41" s="1" t="s">
        <v>399</v>
      </c>
      <c r="Y41" s="1">
        <v>99.0</v>
      </c>
      <c r="Z41" s="9" t="s">
        <v>400</v>
      </c>
    </row>
    <row r="42" hidden="1">
      <c r="A42" s="1">
        <v>2.025061E7</v>
      </c>
      <c r="B42" s="1">
        <f>VLOOKUP(A42,'רשימת בקשות לעבור עליהם'!$A:$A,1,0)</f>
        <v>20250610</v>
      </c>
      <c r="C42" s="1" t="s">
        <v>344</v>
      </c>
      <c r="D42" s="7"/>
      <c r="E42" s="7"/>
      <c r="F42" s="7"/>
      <c r="G42" s="7"/>
      <c r="H42" s="7"/>
      <c r="I42" s="7"/>
      <c r="J42" s="7"/>
      <c r="K42" s="7"/>
      <c r="L42" s="3" t="s">
        <v>224</v>
      </c>
      <c r="M42" s="1" t="s">
        <v>401</v>
      </c>
      <c r="N42" s="1" t="b">
        <v>1</v>
      </c>
      <c r="O42" s="1" t="s">
        <v>395</v>
      </c>
      <c r="P42" s="3" t="s">
        <v>68</v>
      </c>
      <c r="Q42" s="3" t="s">
        <v>402</v>
      </c>
      <c r="R42" s="3" t="s">
        <v>352</v>
      </c>
      <c r="S42" s="3" t="s">
        <v>218</v>
      </c>
      <c r="T42" s="7"/>
      <c r="U42" s="7"/>
      <c r="V42" s="7"/>
      <c r="W42" s="3" t="s">
        <v>403</v>
      </c>
      <c r="X42" s="1" t="s">
        <v>404</v>
      </c>
      <c r="Y42" s="1">
        <v>168.0</v>
      </c>
      <c r="Z42" s="9" t="s">
        <v>405</v>
      </c>
    </row>
    <row r="43" hidden="1">
      <c r="A43" s="1">
        <v>2.0250614E7</v>
      </c>
      <c r="B43" s="1">
        <f>VLOOKUP(A43,'רשימת בקשות לעבור עליהם'!$A:$A,1,0)</f>
        <v>20250614</v>
      </c>
      <c r="C43" s="1" t="s">
        <v>344</v>
      </c>
      <c r="D43" s="7"/>
      <c r="E43" s="7"/>
      <c r="F43" s="7"/>
      <c r="G43" s="7"/>
      <c r="H43" s="7"/>
      <c r="I43" s="7"/>
      <c r="J43" s="7"/>
      <c r="K43" s="7"/>
      <c r="L43" s="3" t="s">
        <v>223</v>
      </c>
      <c r="M43" s="6">
        <v>46357.0</v>
      </c>
      <c r="N43" s="1" t="b">
        <v>1</v>
      </c>
      <c r="O43" s="1" t="s">
        <v>395</v>
      </c>
      <c r="P43" s="3" t="s">
        <v>68</v>
      </c>
      <c r="Q43" s="3" t="s">
        <v>409</v>
      </c>
      <c r="R43" s="3" t="s">
        <v>410</v>
      </c>
      <c r="S43" s="3" t="s">
        <v>218</v>
      </c>
      <c r="T43" s="7"/>
      <c r="U43" s="7"/>
      <c r="V43" s="7"/>
      <c r="W43" s="3" t="s">
        <v>412</v>
      </c>
      <c r="X43" s="1" t="s">
        <v>413</v>
      </c>
      <c r="Y43" s="1">
        <v>218.0</v>
      </c>
      <c r="Z43" s="9" t="s">
        <v>414</v>
      </c>
    </row>
    <row r="44" hidden="1">
      <c r="A44" s="1">
        <v>2.0250622E7</v>
      </c>
      <c r="B44" s="1">
        <f>VLOOKUP(A44,'רשימת בקשות לעבור עליהם'!$A:$A,1,0)</f>
        <v>20250622</v>
      </c>
      <c r="C44" s="1" t="s">
        <v>344</v>
      </c>
      <c r="D44" s="7"/>
      <c r="E44" s="7"/>
      <c r="F44" s="7"/>
      <c r="G44" s="7"/>
      <c r="H44" s="7"/>
      <c r="I44" s="7"/>
      <c r="J44" s="7"/>
      <c r="K44" s="7"/>
      <c r="L44" s="3" t="s">
        <v>223</v>
      </c>
      <c r="M44" s="1" t="s">
        <v>416</v>
      </c>
      <c r="N44" s="1" t="b">
        <v>1</v>
      </c>
      <c r="O44" s="1" t="s">
        <v>418</v>
      </c>
      <c r="P44" s="3" t="s">
        <v>96</v>
      </c>
      <c r="Q44" s="3" t="s">
        <v>419</v>
      </c>
      <c r="R44" s="3" t="s">
        <v>352</v>
      </c>
      <c r="S44" s="3" t="s">
        <v>218</v>
      </c>
      <c r="T44" s="7"/>
      <c r="U44" s="7"/>
      <c r="V44" s="7"/>
      <c r="W44" s="3" t="s">
        <v>420</v>
      </c>
      <c r="X44" s="1" t="s">
        <v>421</v>
      </c>
      <c r="Y44" s="7"/>
      <c r="Z44" s="9" t="s">
        <v>423</v>
      </c>
    </row>
    <row r="45" hidden="1">
      <c r="A45" s="1">
        <v>2.0250624E7</v>
      </c>
      <c r="B45" s="1">
        <f>VLOOKUP(A45,'רשימת בקשות לעבור עליהם'!$A:$A,1,0)</f>
        <v>20250624</v>
      </c>
      <c r="C45" s="1" t="s">
        <v>344</v>
      </c>
      <c r="D45" s="7"/>
      <c r="E45" s="7"/>
      <c r="F45" s="7"/>
      <c r="G45" s="7"/>
      <c r="H45" s="7"/>
      <c r="I45" s="7"/>
      <c r="J45" s="7"/>
      <c r="K45" s="7"/>
      <c r="L45" s="3" t="s">
        <v>223</v>
      </c>
      <c r="M45" s="6">
        <v>46055.0</v>
      </c>
      <c r="N45" s="1" t="b">
        <v>1</v>
      </c>
      <c r="O45" s="1" t="s">
        <v>426</v>
      </c>
      <c r="P45" s="3" t="s">
        <v>68</v>
      </c>
      <c r="Q45" s="3" t="s">
        <v>427</v>
      </c>
      <c r="R45" s="3" t="s">
        <v>352</v>
      </c>
      <c r="S45" s="3" t="s">
        <v>218</v>
      </c>
      <c r="T45" s="7"/>
      <c r="U45" s="7"/>
      <c r="V45" s="7"/>
      <c r="W45" s="3" t="s">
        <v>429</v>
      </c>
      <c r="X45" s="1" t="s">
        <v>430</v>
      </c>
      <c r="Y45" s="1">
        <v>30.0</v>
      </c>
      <c r="Z45" s="9" t="s">
        <v>432</v>
      </c>
    </row>
    <row r="46" hidden="1">
      <c r="A46" s="1">
        <v>2.025064E7</v>
      </c>
      <c r="B46" s="1">
        <f>VLOOKUP(A46,'רשימת בקשות לעבור עליהם'!$A:$A,1,0)</f>
        <v>20250640</v>
      </c>
      <c r="C46" s="1" t="s">
        <v>344</v>
      </c>
      <c r="D46" s="7"/>
      <c r="E46" s="7"/>
      <c r="F46" s="7"/>
      <c r="G46" s="7"/>
      <c r="H46" s="7"/>
      <c r="I46" s="7"/>
      <c r="J46" s="7"/>
      <c r="K46" s="7"/>
      <c r="L46" s="3" t="s">
        <v>223</v>
      </c>
      <c r="M46" s="1" t="s">
        <v>433</v>
      </c>
      <c r="N46" s="1" t="b">
        <v>1</v>
      </c>
      <c r="O46" s="1" t="s">
        <v>312</v>
      </c>
      <c r="P46" s="3" t="s">
        <v>68</v>
      </c>
      <c r="Q46" s="3" t="s">
        <v>434</v>
      </c>
      <c r="R46" s="3" t="s">
        <v>410</v>
      </c>
      <c r="S46" s="3" t="s">
        <v>218</v>
      </c>
      <c r="T46" s="7"/>
      <c r="U46" s="7"/>
      <c r="V46" s="7"/>
      <c r="W46" s="3" t="s">
        <v>435</v>
      </c>
      <c r="X46" s="1" t="s">
        <v>436</v>
      </c>
      <c r="Y46" s="1">
        <v>264.0</v>
      </c>
      <c r="Z46" s="9" t="s">
        <v>437</v>
      </c>
    </row>
    <row r="47">
      <c r="A47" s="1">
        <v>2.0260006E7</v>
      </c>
      <c r="B47" s="1">
        <f>VLOOKUP(A47,'רשימת בקשות לעבור עליהם'!$A:$A,1,0)</f>
        <v>20260006</v>
      </c>
      <c r="C47" s="1" t="s">
        <v>438</v>
      </c>
      <c r="D47" s="3" t="s">
        <v>59</v>
      </c>
      <c r="E47" s="3" t="s">
        <v>189</v>
      </c>
      <c r="F47" s="3" t="s">
        <v>439</v>
      </c>
      <c r="G47" s="3" t="s">
        <v>61</v>
      </c>
      <c r="H47" s="1" t="s">
        <v>440</v>
      </c>
      <c r="I47" s="3" t="s">
        <v>441</v>
      </c>
      <c r="J47" s="1" t="s">
        <v>64</v>
      </c>
      <c r="K47" s="3" t="s">
        <v>277</v>
      </c>
      <c r="L47" s="7"/>
      <c r="M47" s="7"/>
      <c r="N47" s="1" t="b">
        <v>1</v>
      </c>
      <c r="O47" s="6">
        <v>46113.0</v>
      </c>
      <c r="P47" s="3" t="s">
        <v>68</v>
      </c>
      <c r="Q47" s="3" t="s">
        <v>442</v>
      </c>
      <c r="R47" s="3" t="s">
        <v>110</v>
      </c>
      <c r="S47" s="3" t="s">
        <v>98</v>
      </c>
      <c r="T47" s="7"/>
      <c r="U47" s="7"/>
      <c r="V47" s="7"/>
      <c r="W47" s="3" t="s">
        <v>443</v>
      </c>
      <c r="X47" s="1" t="s">
        <v>444</v>
      </c>
      <c r="Y47" s="1">
        <v>307.0</v>
      </c>
      <c r="Z47" s="9" t="s">
        <v>445</v>
      </c>
    </row>
    <row r="48" hidden="1">
      <c r="A48" s="1">
        <v>2.0260016E7</v>
      </c>
      <c r="B48" s="1">
        <f>VLOOKUP(A48,'רשימת בקשות לעבור עליהם'!$A:$A,1,0)</f>
        <v>20260016</v>
      </c>
      <c r="C48" s="1" t="s">
        <v>344</v>
      </c>
      <c r="D48" s="7"/>
      <c r="E48" s="7"/>
      <c r="F48" s="7"/>
      <c r="G48" s="7"/>
      <c r="H48" s="7"/>
      <c r="I48" s="7"/>
      <c r="J48" s="7"/>
      <c r="K48" s="7"/>
      <c r="L48" s="3" t="s">
        <v>223</v>
      </c>
      <c r="M48" s="1" t="s">
        <v>446</v>
      </c>
      <c r="N48" s="1" t="b">
        <v>1</v>
      </c>
      <c r="O48" s="6">
        <v>46235.0</v>
      </c>
      <c r="P48" s="3" t="s">
        <v>68</v>
      </c>
      <c r="Q48" s="3" t="s">
        <v>447</v>
      </c>
      <c r="R48" s="3" t="s">
        <v>352</v>
      </c>
      <c r="S48" s="3" t="s">
        <v>218</v>
      </c>
      <c r="T48" s="1">
        <v>80.0</v>
      </c>
      <c r="U48" s="7"/>
      <c r="V48" s="7"/>
      <c r="W48" s="3" t="s">
        <v>448</v>
      </c>
      <c r="X48" s="1" t="s">
        <v>449</v>
      </c>
      <c r="Y48" s="7"/>
      <c r="Z48" s="9" t="s">
        <v>450</v>
      </c>
    </row>
    <row r="49">
      <c r="A49" s="1">
        <v>2.0260025E7</v>
      </c>
      <c r="B49" s="1">
        <f>VLOOKUP(A49,'רשימת בקשות לעבור עליהם'!$A:$A,1,0)</f>
        <v>20260025</v>
      </c>
      <c r="C49" s="1" t="s">
        <v>438</v>
      </c>
      <c r="D49" s="3" t="s">
        <v>59</v>
      </c>
      <c r="E49" s="3" t="s">
        <v>203</v>
      </c>
      <c r="F49" s="3" t="s">
        <v>451</v>
      </c>
      <c r="G49" s="3" t="s">
        <v>61</v>
      </c>
      <c r="H49" s="1" t="s">
        <v>452</v>
      </c>
      <c r="I49" s="3" t="s">
        <v>453</v>
      </c>
      <c r="J49" s="1" t="s">
        <v>64</v>
      </c>
      <c r="K49" s="3" t="s">
        <v>277</v>
      </c>
      <c r="L49" s="3" t="s">
        <v>223</v>
      </c>
      <c r="M49" s="6">
        <v>46240.0</v>
      </c>
      <c r="N49" s="1" t="b">
        <v>1</v>
      </c>
      <c r="O49" s="1" t="s">
        <v>454</v>
      </c>
      <c r="P49" s="3" t="s">
        <v>68</v>
      </c>
      <c r="Q49" s="3" t="s">
        <v>455</v>
      </c>
      <c r="R49" s="3" t="s">
        <v>110</v>
      </c>
      <c r="S49" s="3" t="s">
        <v>98</v>
      </c>
      <c r="T49" s="1">
        <v>104.0</v>
      </c>
      <c r="U49" s="7"/>
      <c r="V49" s="7"/>
      <c r="W49" s="3" t="s">
        <v>456</v>
      </c>
      <c r="X49" s="1" t="s">
        <v>457</v>
      </c>
      <c r="Y49" s="1">
        <v>103.0</v>
      </c>
      <c r="Z49" s="9" t="s">
        <v>458</v>
      </c>
    </row>
    <row r="50" hidden="1">
      <c r="A50" s="1">
        <v>2.0260082E7</v>
      </c>
      <c r="B50" s="1">
        <f>VLOOKUP(A50,'רשימת בקשות לעבור עליהם'!$A:$A,1,0)</f>
        <v>20260082</v>
      </c>
      <c r="C50" s="1" t="s">
        <v>344</v>
      </c>
      <c r="D50" s="7"/>
      <c r="E50" s="7"/>
      <c r="F50" s="7"/>
      <c r="G50" s="7"/>
      <c r="H50" s="7"/>
      <c r="I50" s="7"/>
      <c r="J50" s="7"/>
      <c r="K50" s="7"/>
      <c r="L50" s="3" t="s">
        <v>223</v>
      </c>
      <c r="M50" s="6">
        <v>46331.0</v>
      </c>
      <c r="N50" s="1" t="b">
        <v>1</v>
      </c>
      <c r="O50" s="6">
        <v>46297.0</v>
      </c>
      <c r="P50" s="3" t="s">
        <v>68</v>
      </c>
      <c r="Q50" s="3" t="s">
        <v>459</v>
      </c>
      <c r="R50" s="3" t="s">
        <v>410</v>
      </c>
      <c r="S50" s="3" t="s">
        <v>460</v>
      </c>
      <c r="T50" s="7"/>
      <c r="U50" s="7"/>
      <c r="V50" s="7"/>
      <c r="W50" s="3" t="s">
        <v>461</v>
      </c>
      <c r="X50" s="1" t="s">
        <v>462</v>
      </c>
      <c r="Y50" s="1">
        <v>667.0</v>
      </c>
      <c r="Z50" s="9" t="s">
        <v>463</v>
      </c>
    </row>
    <row r="51">
      <c r="A51" s="1">
        <v>2.026009E7</v>
      </c>
      <c r="B51" s="1">
        <f>VLOOKUP(A51,'רשימת בקשות לעבור עליהם'!$A:$A,1,0)</f>
        <v>20260090</v>
      </c>
      <c r="C51" s="1" t="s">
        <v>344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1" t="b">
        <v>1</v>
      </c>
      <c r="O51" s="1" t="s">
        <v>465</v>
      </c>
      <c r="P51" s="3" t="s">
        <v>68</v>
      </c>
      <c r="Q51" s="3" t="s">
        <v>466</v>
      </c>
      <c r="R51" s="3" t="s">
        <v>110</v>
      </c>
      <c r="S51" s="3" t="s">
        <v>98</v>
      </c>
      <c r="T51" s="7"/>
      <c r="U51" s="7"/>
      <c r="V51" s="7"/>
      <c r="W51" s="3" t="s">
        <v>467</v>
      </c>
      <c r="X51" s="1" t="s">
        <v>468</v>
      </c>
      <c r="Y51" s="1">
        <v>116.0</v>
      </c>
      <c r="Z51" s="9" t="s">
        <v>469</v>
      </c>
    </row>
    <row r="52" hidden="1">
      <c r="A52" s="1">
        <v>2.0260096E7</v>
      </c>
      <c r="B52" s="1">
        <f>VLOOKUP(A52,'רשימת בקשות לעבור עליהם'!$A:$A,1,0)</f>
        <v>20260096</v>
      </c>
      <c r="C52" s="1" t="s">
        <v>344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1" t="b">
        <v>1</v>
      </c>
      <c r="O52" s="1" t="s">
        <v>470</v>
      </c>
      <c r="P52" s="3" t="s">
        <v>68</v>
      </c>
      <c r="Q52" s="3" t="s">
        <v>471</v>
      </c>
      <c r="R52" s="3" t="s">
        <v>61</v>
      </c>
      <c r="S52" s="3" t="s">
        <v>472</v>
      </c>
      <c r="T52" s="7"/>
      <c r="U52" s="7"/>
      <c r="V52" s="7"/>
      <c r="W52" s="3" t="s">
        <v>473</v>
      </c>
      <c r="X52" s="1" t="s">
        <v>474</v>
      </c>
      <c r="Y52" s="1">
        <v>605.0</v>
      </c>
      <c r="Z52" s="9" t="s">
        <v>475</v>
      </c>
    </row>
    <row r="53" hidden="1">
      <c r="A53" s="1">
        <v>2.0260135E7</v>
      </c>
      <c r="B53" s="1">
        <f>VLOOKUP(A53,'רשימת בקשות לעבור עליהם'!$A:$A,1,0)</f>
        <v>20260135</v>
      </c>
      <c r="C53" s="1" t="s">
        <v>344</v>
      </c>
      <c r="D53" s="7"/>
      <c r="E53" s="7"/>
      <c r="F53" s="7"/>
      <c r="G53" s="7"/>
      <c r="H53" s="7"/>
      <c r="I53" s="7"/>
      <c r="J53" s="7"/>
      <c r="K53" s="7"/>
      <c r="L53" s="3" t="s">
        <v>223</v>
      </c>
      <c r="M53" s="1" t="s">
        <v>476</v>
      </c>
      <c r="N53" s="1" t="b">
        <v>1</v>
      </c>
      <c r="O53" s="1" t="s">
        <v>225</v>
      </c>
      <c r="P53" s="3" t="s">
        <v>68</v>
      </c>
      <c r="Q53" s="3" t="s">
        <v>477</v>
      </c>
      <c r="R53" s="3" t="s">
        <v>352</v>
      </c>
      <c r="S53" s="3" t="s">
        <v>218</v>
      </c>
      <c r="T53" s="7"/>
      <c r="U53" s="7"/>
      <c r="V53" s="7"/>
      <c r="W53" s="3" t="s">
        <v>478</v>
      </c>
      <c r="X53" s="1" t="s">
        <v>479</v>
      </c>
      <c r="Y53" s="1">
        <v>42.0</v>
      </c>
      <c r="Z53" s="9" t="s">
        <v>480</v>
      </c>
    </row>
    <row r="54" hidden="1">
      <c r="A54" s="1">
        <v>2.026018E7</v>
      </c>
      <c r="B54" s="1">
        <f>VLOOKUP(A54,'רשימת בקשות לעבור עליהם'!$A:$A,1,0)</f>
        <v>20260180</v>
      </c>
      <c r="C54" s="1" t="s">
        <v>344</v>
      </c>
      <c r="D54" s="7"/>
      <c r="E54" s="7"/>
      <c r="F54" s="7"/>
      <c r="G54" s="7"/>
      <c r="H54" s="7"/>
      <c r="I54" s="7"/>
      <c r="J54" s="7"/>
      <c r="K54" s="7"/>
      <c r="L54" s="3" t="s">
        <v>224</v>
      </c>
      <c r="M54" s="1" t="s">
        <v>155</v>
      </c>
      <c r="N54" s="1" t="b">
        <v>1</v>
      </c>
      <c r="O54" s="1" t="s">
        <v>481</v>
      </c>
      <c r="P54" s="3" t="s">
        <v>68</v>
      </c>
      <c r="Q54" s="3" t="s">
        <v>482</v>
      </c>
      <c r="R54" s="3" t="s">
        <v>352</v>
      </c>
      <c r="S54" s="3" t="s">
        <v>218</v>
      </c>
      <c r="T54" s="7"/>
      <c r="U54" s="7"/>
      <c r="V54" s="7"/>
      <c r="W54" s="3" t="s">
        <v>483</v>
      </c>
      <c r="X54" s="1" t="s">
        <v>484</v>
      </c>
      <c r="Y54" s="1">
        <v>29.0</v>
      </c>
      <c r="Z54" s="9" t="s">
        <v>487</v>
      </c>
    </row>
    <row r="55">
      <c r="A55" s="1">
        <v>2.0260184E7</v>
      </c>
      <c r="B55" s="1">
        <f>VLOOKUP(A55,'רשימת בקשות לעבור עליהם'!$A:$A,1,0)</f>
        <v>20260184</v>
      </c>
      <c r="C55" s="1" t="s">
        <v>58</v>
      </c>
      <c r="D55" s="3" t="s">
        <v>59</v>
      </c>
      <c r="E55" s="3" t="s">
        <v>55</v>
      </c>
      <c r="F55" s="3" t="s">
        <v>490</v>
      </c>
      <c r="G55" s="3" t="s">
        <v>61</v>
      </c>
      <c r="H55" s="1" t="s">
        <v>491</v>
      </c>
      <c r="I55" s="3" t="s">
        <v>492</v>
      </c>
      <c r="J55" s="1" t="s">
        <v>64</v>
      </c>
      <c r="K55" s="3" t="s">
        <v>68</v>
      </c>
      <c r="L55" s="3" t="s">
        <v>223</v>
      </c>
      <c r="M55" s="1" t="s">
        <v>240</v>
      </c>
      <c r="N55" s="1" t="b">
        <v>1</v>
      </c>
      <c r="O55" s="1" t="s">
        <v>476</v>
      </c>
      <c r="P55" s="3" t="s">
        <v>68</v>
      </c>
      <c r="Q55" s="3" t="s">
        <v>494</v>
      </c>
      <c r="R55" s="3" t="s">
        <v>110</v>
      </c>
      <c r="S55" s="3" t="s">
        <v>98</v>
      </c>
      <c r="T55" s="1">
        <v>78.0</v>
      </c>
      <c r="U55" s="7"/>
      <c r="V55" s="7"/>
      <c r="W55" s="3" t="s">
        <v>497</v>
      </c>
      <c r="X55" s="1" t="s">
        <v>498</v>
      </c>
      <c r="Y55" s="1">
        <v>125.0</v>
      </c>
      <c r="Z55" s="9" t="s">
        <v>499</v>
      </c>
    </row>
    <row r="56">
      <c r="A56" s="1">
        <v>2.0260185E7</v>
      </c>
      <c r="B56" s="1">
        <f>VLOOKUP(A56,'רשימת בקשות לעבור עליהם'!$A:$A,1,0)</f>
        <v>20260185</v>
      </c>
      <c r="C56" s="1" t="s">
        <v>58</v>
      </c>
      <c r="D56" s="3" t="s">
        <v>59</v>
      </c>
      <c r="E56" s="3" t="s">
        <v>55</v>
      </c>
      <c r="F56" s="3" t="s">
        <v>490</v>
      </c>
      <c r="G56" s="3" t="s">
        <v>61</v>
      </c>
      <c r="H56" s="1" t="s">
        <v>491</v>
      </c>
      <c r="I56" s="3" t="s">
        <v>492</v>
      </c>
      <c r="J56" s="1" t="s">
        <v>64</v>
      </c>
      <c r="K56" s="3" t="s">
        <v>68</v>
      </c>
      <c r="L56" s="3" t="s">
        <v>223</v>
      </c>
      <c r="M56" s="1" t="s">
        <v>240</v>
      </c>
      <c r="N56" s="1" t="b">
        <v>1</v>
      </c>
      <c r="O56" s="1" t="s">
        <v>476</v>
      </c>
      <c r="P56" s="3" t="s">
        <v>68</v>
      </c>
      <c r="Q56" s="3" t="s">
        <v>500</v>
      </c>
      <c r="R56" s="3" t="s">
        <v>110</v>
      </c>
      <c r="S56" s="3" t="s">
        <v>98</v>
      </c>
      <c r="T56" s="1">
        <v>78.0</v>
      </c>
      <c r="U56" s="7"/>
      <c r="V56" s="7"/>
      <c r="W56" s="3" t="s">
        <v>497</v>
      </c>
      <c r="X56" s="1" t="s">
        <v>501</v>
      </c>
      <c r="Y56" s="1">
        <v>126.0</v>
      </c>
      <c r="Z56" s="9" t="s">
        <v>502</v>
      </c>
    </row>
    <row r="57" hidden="1">
      <c r="A57" s="1">
        <v>2.0260223E7</v>
      </c>
      <c r="B57" s="1">
        <f>VLOOKUP(A57,'רשימת בקשות לעבור עליהם'!$A:$A,1,0)</f>
        <v>20260223</v>
      </c>
      <c r="C57" s="1" t="s">
        <v>344</v>
      </c>
      <c r="D57" s="7"/>
      <c r="E57" s="7"/>
      <c r="F57" s="7"/>
      <c r="G57" s="7"/>
      <c r="H57" s="7"/>
      <c r="I57" s="7"/>
      <c r="J57" s="7"/>
      <c r="K57" s="7"/>
      <c r="L57" s="3" t="s">
        <v>223</v>
      </c>
      <c r="M57" s="6">
        <v>46240.0</v>
      </c>
      <c r="N57" s="1" t="b">
        <v>1</v>
      </c>
      <c r="O57" s="1" t="s">
        <v>485</v>
      </c>
      <c r="P57" s="3" t="s">
        <v>68</v>
      </c>
      <c r="Q57" s="3" t="s">
        <v>486</v>
      </c>
      <c r="R57" s="3" t="s">
        <v>410</v>
      </c>
      <c r="S57" s="3" t="s">
        <v>460</v>
      </c>
      <c r="T57" s="7"/>
      <c r="U57" s="7"/>
      <c r="V57" s="7"/>
      <c r="W57" s="3" t="s">
        <v>488</v>
      </c>
      <c r="X57" s="1" t="s">
        <v>489</v>
      </c>
      <c r="Y57" s="1">
        <v>611.0</v>
      </c>
      <c r="Z57" s="9" t="s">
        <v>503</v>
      </c>
    </row>
    <row r="58" hidden="1">
      <c r="A58" s="1">
        <v>2.0260235E7</v>
      </c>
      <c r="B58" s="1">
        <f>VLOOKUP(A58,'רשימת בקשות לעבור עליהם'!$A:$A,1,0)</f>
        <v>20260235</v>
      </c>
      <c r="C58" s="1" t="s">
        <v>344</v>
      </c>
      <c r="D58" s="7"/>
      <c r="E58" s="7"/>
      <c r="F58" s="7"/>
      <c r="G58" s="7"/>
      <c r="H58" s="7"/>
      <c r="I58" s="7"/>
      <c r="J58" s="7"/>
      <c r="K58" s="7"/>
      <c r="L58" s="3" t="s">
        <v>223</v>
      </c>
      <c r="M58" s="1" t="s">
        <v>240</v>
      </c>
      <c r="N58" s="1" t="b">
        <v>1</v>
      </c>
      <c r="O58" s="1" t="s">
        <v>401</v>
      </c>
      <c r="P58" s="3" t="s">
        <v>68</v>
      </c>
      <c r="Q58" s="3" t="s">
        <v>493</v>
      </c>
      <c r="R58" s="3" t="s">
        <v>410</v>
      </c>
      <c r="S58" s="3" t="s">
        <v>460</v>
      </c>
      <c r="T58" s="7"/>
      <c r="U58" s="7"/>
      <c r="V58" s="7"/>
      <c r="W58" s="3" t="s">
        <v>495</v>
      </c>
      <c r="X58" s="1" t="s">
        <v>496</v>
      </c>
      <c r="Y58" s="1">
        <v>69.0</v>
      </c>
      <c r="Z58" s="9" t="s">
        <v>504</v>
      </c>
    </row>
  </sheetData>
  <autoFilter ref="$A$1:$Z$1000">
    <filterColumn colId="1">
      <filters blank="1">
        <filter val="20260006"/>
        <filter val="20250514"/>
        <filter val="20220191"/>
        <filter val="20250354"/>
        <filter val="20250232"/>
        <filter val="20250477"/>
        <filter val="20250355"/>
        <filter val="20230224"/>
        <filter val="20260090"/>
        <filter val="20210795"/>
        <filter val="20220878"/>
        <filter val="20220876"/>
        <filter val="20240348"/>
        <filter val="20200694"/>
        <filter val="20260184"/>
        <filter val="20260025"/>
        <filter val="20260185"/>
        <filter val="20240650"/>
        <filter val="20240698"/>
        <filter val="20240697"/>
        <filter val="20250098"/>
        <filter val="20220897"/>
        <filter val="20220379"/>
        <filter val="20250129"/>
        <filter val="20240290"/>
        <filter val="20210262"/>
        <filter val="20210261"/>
      </filters>
    </filterColumn>
  </autoFilter>
  <hyperlinks>
    <hyperlink r:id="rId1" location="request/20160086" ref="Z2"/>
    <hyperlink r:id="rId2" location="request/20160462" ref="Z3"/>
    <hyperlink r:id="rId3" location="request/20160463" ref="Z4"/>
    <hyperlink r:id="rId4" location="request/20190022" ref="Z5"/>
    <hyperlink r:id="rId5" location="request/20220191" ref="Z6"/>
    <hyperlink r:id="rId6" location="request/20200694" ref="Z7"/>
    <hyperlink r:id="rId7" location="request/20200787" ref="Z8"/>
    <hyperlink r:id="rId8" location="request/20210261" ref="Z9"/>
    <hyperlink r:id="rId9" location="request/20210262" ref="Z10"/>
    <hyperlink r:id="rId10" location="request/20210732" ref="Z11"/>
    <hyperlink r:id="rId11" location="request/20210746" ref="Z12"/>
    <hyperlink r:id="rId12" location="request/20210795" ref="Z13"/>
    <hyperlink r:id="rId13" location="request/20220304" ref="Z14"/>
    <hyperlink r:id="rId14" location="request/20220379" ref="Z15"/>
    <hyperlink r:id="rId15" location="request/20220876" ref="Z16"/>
    <hyperlink r:id="rId16" location="request/20220878" ref="Z17"/>
    <hyperlink r:id="rId17" location="request/20220897" ref="Z18"/>
    <hyperlink r:id="rId18" location="request/20230224" ref="Z19"/>
    <hyperlink r:id="rId19" location="request/20230313" ref="Z20"/>
    <hyperlink r:id="rId20" location="request/20230593" ref="Z21"/>
    <hyperlink r:id="rId21" location="request/20230759" ref="Z22"/>
    <hyperlink r:id="rId22" location="request/20240290" ref="Z23"/>
    <hyperlink r:id="rId23" location="request/20240348" ref="Z24"/>
    <hyperlink r:id="rId24" location="request/20240650" ref="Z25"/>
    <hyperlink r:id="rId25" location="request/20240697" ref="Z26"/>
    <hyperlink r:id="rId26" location="request/20240698" ref="Z27"/>
    <hyperlink r:id="rId27" location="request/20250098" ref="Z28"/>
    <hyperlink r:id="rId28" location="request/20250129" ref="Z29"/>
    <hyperlink r:id="rId29" location="request/20250232" ref="Z30"/>
    <hyperlink r:id="rId30" location="request/20250262" ref="Z31"/>
    <hyperlink r:id="rId31" location="request/20250266" ref="Z32"/>
    <hyperlink r:id="rId32" location="request/20250354" ref="Z33"/>
    <hyperlink r:id="rId33" location="request/20250355" ref="Z34"/>
    <hyperlink r:id="rId34" location="request/20250376" ref="Z35"/>
    <hyperlink r:id="rId35" location="request/20250397" ref="Z36"/>
    <hyperlink r:id="rId36" location="request/20250409" ref="Z37"/>
    <hyperlink r:id="rId37" location="request/20250437" ref="Z38"/>
    <hyperlink r:id="rId38" location="request/20250477" ref="Z39"/>
    <hyperlink r:id="rId39" location="request/20250514" ref="Z40"/>
    <hyperlink r:id="rId40" location="request/20250609" ref="Z41"/>
    <hyperlink r:id="rId41" location="request/20250610" ref="Z42"/>
    <hyperlink r:id="rId42" location="request/20250614" ref="Z43"/>
    <hyperlink r:id="rId43" location="request/20250622" ref="Z44"/>
    <hyperlink r:id="rId44" location="request/20250624" ref="Z45"/>
    <hyperlink r:id="rId45" location="request/20250640" ref="Z46"/>
    <hyperlink r:id="rId46" location="request/20260006" ref="Z47"/>
    <hyperlink r:id="rId47" location="request/20260016" ref="Z48"/>
    <hyperlink r:id="rId48" location="request/20260025" ref="Z49"/>
    <hyperlink r:id="rId49" location="request/20260082" ref="Z50"/>
    <hyperlink r:id="rId50" location="request/20260090" ref="Z51"/>
    <hyperlink r:id="rId51" location="request/20260096" ref="Z52"/>
    <hyperlink r:id="rId52" location="request/20260135" ref="Z53"/>
    <hyperlink r:id="rId53" location="request/20260180" ref="Z54"/>
    <hyperlink r:id="rId54" location="request/20260184" ref="Z55"/>
    <hyperlink r:id="rId55" location="request/20260185" ref="Z56"/>
    <hyperlink r:id="rId56" location="request/20260223" ref="Z57"/>
    <hyperlink r:id="rId57" location="request/20260235" ref="Z58"/>
  </hyperlin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44.5"/>
  </cols>
  <sheetData>
    <row r="1">
      <c r="A1" s="2" t="s">
        <v>1</v>
      </c>
    </row>
    <row r="2">
      <c r="A2" s="3" t="s">
        <v>4</v>
      </c>
    </row>
    <row r="3">
      <c r="A3" s="3" t="s">
        <v>8</v>
      </c>
    </row>
    <row r="4">
      <c r="A4" s="3" t="s">
        <v>11</v>
      </c>
    </row>
    <row r="5">
      <c r="A5" s="3" t="s">
        <v>13</v>
      </c>
    </row>
    <row r="6">
      <c r="A6" s="3" t="s">
        <v>15</v>
      </c>
    </row>
    <row r="7">
      <c r="A7" s="3" t="s">
        <v>17</v>
      </c>
    </row>
    <row r="8">
      <c r="A8" s="3" t="s">
        <v>20</v>
      </c>
    </row>
    <row r="9">
      <c r="A9" s="3" t="s">
        <v>22</v>
      </c>
    </row>
    <row r="10">
      <c r="A10" s="3" t="s">
        <v>23</v>
      </c>
    </row>
    <row r="11">
      <c r="A11" s="3" t="s">
        <v>24</v>
      </c>
    </row>
    <row r="12">
      <c r="A12" s="3" t="s">
        <v>25</v>
      </c>
    </row>
    <row r="13">
      <c r="A13" s="3" t="s">
        <v>27</v>
      </c>
    </row>
    <row r="14">
      <c r="A14" s="3" t="s">
        <v>29</v>
      </c>
    </row>
    <row r="15">
      <c r="A15" s="3" t="s">
        <v>31</v>
      </c>
    </row>
    <row r="16">
      <c r="A16" s="3" t="s">
        <v>33</v>
      </c>
    </row>
    <row r="17">
      <c r="A17" s="3" t="s">
        <v>35</v>
      </c>
    </row>
    <row r="18">
      <c r="A18" s="3" t="s">
        <v>37</v>
      </c>
    </row>
    <row r="19">
      <c r="A19" s="3" t="s">
        <v>39</v>
      </c>
    </row>
    <row r="20">
      <c r="A20" s="3" t="s">
        <v>40</v>
      </c>
    </row>
    <row r="21">
      <c r="A21" s="3" t="s">
        <v>43</v>
      </c>
    </row>
    <row r="22">
      <c r="A22" s="3" t="s">
        <v>45</v>
      </c>
    </row>
    <row r="23">
      <c r="A23" s="3" t="s">
        <v>48</v>
      </c>
    </row>
    <row r="24">
      <c r="A24" s="3" t="s">
        <v>50</v>
      </c>
    </row>
    <row r="25">
      <c r="A25" s="3" t="s">
        <v>51</v>
      </c>
    </row>
    <row r="26">
      <c r="A26" s="3" t="s">
        <v>52</v>
      </c>
    </row>
    <row r="27">
      <c r="A27" s="3" t="s">
        <v>53</v>
      </c>
    </row>
    <row r="28">
      <c r="A28" s="3" t="s">
        <v>54</v>
      </c>
    </row>
    <row r="29">
      <c r="A29" s="3" t="s">
        <v>55</v>
      </c>
    </row>
  </sheetData>
  <autoFilter ref="$A$1:$A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7.38"/>
    <col customWidth="1" min="2" max="2" width="32.0"/>
  </cols>
  <sheetData>
    <row r="1">
      <c r="A1" s="2" t="s">
        <v>9</v>
      </c>
      <c r="B1" s="4" t="s">
        <v>2</v>
      </c>
    </row>
    <row r="2">
      <c r="A2" s="2" t="s">
        <v>4</v>
      </c>
      <c r="B2" s="5" t="str">
        <f>VLOOKUP(A2,'פרויקטים ב-status advanced שנבד'!$A:$A,1,0)</f>
        <v>גרופית_באגמים</v>
      </c>
    </row>
    <row r="3">
      <c r="A3" s="2" t="s">
        <v>56</v>
      </c>
      <c r="B3" s="5" t="str">
        <f>VLOOKUP(A3,'פרויקטים ב-status advanced שנבד'!$A:$A,1,0)</f>
        <v>#N/A</v>
      </c>
    </row>
    <row r="4">
      <c r="A4" s="2" t="s">
        <v>57</v>
      </c>
      <c r="B4" s="5" t="str">
        <f>VLOOKUP(A4,'פרויקטים ב-status advanced שנבד'!$A:$A,1,0)</f>
        <v>#N/A</v>
      </c>
    </row>
    <row r="5">
      <c r="A5" s="2" t="s">
        <v>11</v>
      </c>
      <c r="B5" s="5" t="str">
        <f>VLOOKUP(A5,'פרויקטים ב-status advanced שנבד'!$A:$A,1,0)</f>
        <v>ליאם_נחמיאס_אשקלון__מתחם_1</v>
      </c>
    </row>
    <row r="6">
      <c r="A6" s="2" t="s">
        <v>40</v>
      </c>
      <c r="B6" s="5" t="str">
        <f>VLOOKUP(A6,'פרויקטים ב-status advanced שנבד'!$A:$A,1,0)</f>
        <v>החלוץ_פינת_דוד_רמז_אשקלון</v>
      </c>
    </row>
    <row r="7">
      <c r="A7" s="2" t="s">
        <v>74</v>
      </c>
      <c r="B7" s="5" t="str">
        <f>VLOOKUP(A7,'פרויקטים ב-status advanced שנבד'!$A:$A,1,0)</f>
        <v>#N/A</v>
      </c>
    </row>
    <row r="8">
      <c r="A8" s="2" t="s">
        <v>13</v>
      </c>
      <c r="B8" s="5" t="str">
        <f>VLOOKUP(A8,'פרויקטים ב-status advanced שנבד'!$A:$A,1,0)</f>
        <v>כ_כוכב_הנגב_בבלוט_ח</v>
      </c>
    </row>
    <row r="9">
      <c r="A9" s="2" t="s">
        <v>75</v>
      </c>
      <c r="B9" s="5" t="str">
        <f>VLOOKUP(A9,'פרויקטים ב-status advanced שנבד'!$A:$A,1,0)</f>
        <v>#N/A</v>
      </c>
    </row>
    <row r="10">
      <c r="A10" s="2" t="s">
        <v>8</v>
      </c>
      <c r="B10" s="5" t="str">
        <f>VLOOKUP(A10,'פרויקטים ב-status advanced שנבד'!$A:$A,1,0)</f>
        <v>אגמים_אשקלון</v>
      </c>
    </row>
    <row r="11">
      <c r="A11" s="2" t="s">
        <v>76</v>
      </c>
      <c r="B11" s="5" t="str">
        <f>VLOOKUP(A11,'פרויקטים ב-status advanced שנבד'!$A:$A,1,0)</f>
        <v>#N/A</v>
      </c>
    </row>
    <row r="12">
      <c r="A12" s="2" t="s">
        <v>17</v>
      </c>
      <c r="B12" s="5" t="str">
        <f>VLOOKUP(A12,'פרויקטים ב-status advanced שנבד'!$A:$A,1,0)</f>
        <v>אשקלון_מתחם_44_מגרש_305</v>
      </c>
    </row>
    <row r="13">
      <c r="A13" s="2" t="s">
        <v>39</v>
      </c>
      <c r="B13" s="5" t="str">
        <f>VLOOKUP(A13,'פרויקטים ב-status advanced שנבד'!$A:$A,1,0)</f>
        <v>מתחם_54242_אשקלון</v>
      </c>
    </row>
    <row r="14">
      <c r="A14" s="2" t="s">
        <v>87</v>
      </c>
      <c r="B14" s="5" t="str">
        <f>VLOOKUP(A14,'פרויקטים ב-status advanced שנבד'!$A:$A,1,0)</f>
        <v>#N/A</v>
      </c>
    </row>
    <row r="15">
      <c r="A15" s="2" t="s">
        <v>20</v>
      </c>
      <c r="B15" s="5" t="str">
        <f>VLOOKUP(A15,'פרויקטים ב-status advanced שנבד'!$A:$A,1,0)</f>
        <v>מגרש_203_214_אגמים_מזרח_אשקלון</v>
      </c>
    </row>
    <row r="16">
      <c r="A16" s="2" t="s">
        <v>22</v>
      </c>
      <c r="B16" s="5" t="str">
        <f>VLOOKUP(A16,'פרויקטים ב-status advanced שנבד'!$A:$A,1,0)</f>
        <v>מתחם_71403_עיר_היין_אשקלון</v>
      </c>
    </row>
    <row r="17">
      <c r="A17" s="2" t="s">
        <v>93</v>
      </c>
      <c r="B17" s="5" t="str">
        <f>VLOOKUP(A17,'פרויקטים ב-status advanced שנבד'!$A:$A,1,0)</f>
        <v>#N/A</v>
      </c>
    </row>
    <row r="18">
      <c r="A18" s="2" t="s">
        <v>99</v>
      </c>
      <c r="B18" s="5" t="str">
        <f>VLOOKUP(A18,'פרויקטים ב-status advanced שנבד'!$A:$A,1,0)</f>
        <v>#N/A</v>
      </c>
    </row>
    <row r="19">
      <c r="A19" s="2" t="s">
        <v>102</v>
      </c>
      <c r="B19" s="5" t="str">
        <f>VLOOKUP(A19,'פרויקטים ב-status advanced שנבד'!$A:$A,1,0)</f>
        <v>#N/A</v>
      </c>
    </row>
    <row r="20">
      <c r="A20" s="2" t="s">
        <v>103</v>
      </c>
      <c r="B20" s="5" t="str">
        <f>VLOOKUP(A20,'פרויקטים ב-status advanced שנבד'!$A:$A,1,0)</f>
        <v>#N/A</v>
      </c>
    </row>
    <row r="21">
      <c r="A21" s="2" t="s">
        <v>109</v>
      </c>
      <c r="B21" s="5" t="str">
        <f>VLOOKUP(A21,'פרויקטים ב-status advanced שנבד'!$A:$A,1,0)</f>
        <v>#N/A</v>
      </c>
    </row>
    <row r="22">
      <c r="A22" s="2" t="s">
        <v>114</v>
      </c>
      <c r="B22" s="5" t="str">
        <f>VLOOKUP(A22,'פרויקטים ב-status advanced שנבד'!$A:$A,1,0)</f>
        <v>#N/A</v>
      </c>
    </row>
    <row r="23">
      <c r="A23" s="2" t="s">
        <v>37</v>
      </c>
      <c r="B23" s="5" t="str">
        <f>VLOOKUP(A23,'פרויקטים ב-status advanced שנבד'!$A:$A,1,0)</f>
        <v>אשקלון_שכ'_צפונית_מתחם_30</v>
      </c>
    </row>
    <row r="24">
      <c r="A24" s="2" t="s">
        <v>118</v>
      </c>
      <c r="B24" s="5" t="str">
        <f>VLOOKUP(A24,'פרויקטים ב-status advanced שנבד'!$A:$A,1,0)</f>
        <v>#N/A</v>
      </c>
    </row>
    <row r="25">
      <c r="A25" s="2" t="s">
        <v>123</v>
      </c>
      <c r="B25" s="5" t="str">
        <f>VLOOKUP(A25,'פרויקטים ב-status advanced שנבד'!$A:$A,1,0)</f>
        <v>#N/A</v>
      </c>
    </row>
    <row r="26">
      <c r="A26" s="2" t="s">
        <v>124</v>
      </c>
      <c r="B26" s="5" t="str">
        <f>VLOOKUP(A26,'פרויקטים ב-status advanced שנבד'!$A:$A,1,0)</f>
        <v>#N/A</v>
      </c>
    </row>
    <row r="27">
      <c r="A27" s="2" t="s">
        <v>128</v>
      </c>
      <c r="B27" s="5" t="str">
        <f>VLOOKUP(A27,'פרויקטים ב-status advanced שנבד'!$A:$A,1,0)</f>
        <v>#N/A</v>
      </c>
    </row>
    <row r="28">
      <c r="A28" s="2" t="s">
        <v>133</v>
      </c>
      <c r="B28" s="5" t="str">
        <f>VLOOKUP(A28,'פרויקטים ב-status advanced שנבד'!$A:$A,1,0)</f>
        <v>#N/A</v>
      </c>
    </row>
    <row r="29">
      <c r="A29" s="2" t="s">
        <v>136</v>
      </c>
      <c r="B29" s="5" t="str">
        <f>VLOOKUP(A29,'פרויקטים ב-status advanced שנבד'!$A:$A,1,0)</f>
        <v>#N/A</v>
      </c>
    </row>
    <row r="30">
      <c r="A30" s="2" t="s">
        <v>33</v>
      </c>
      <c r="B30" s="5" t="str">
        <f>VLOOKUP(A30,'פרויקטים ב-status advanced שנבד'!$A:$A,1,0)</f>
        <v>אריה_עוזר_6-8_אשקלון</v>
      </c>
    </row>
    <row r="31">
      <c r="A31" s="2" t="s">
        <v>15</v>
      </c>
      <c r="B31" s="5" t="str">
        <f>VLOOKUP(A31,'פרויקטים ב-status advanced שנבד'!$A:$A,1,0)</f>
        <v>הרב_דוד_בוזגלו_69-73-76-78_אשקלון</v>
      </c>
    </row>
    <row r="32">
      <c r="A32" s="2" t="s">
        <v>52</v>
      </c>
      <c r="B32" s="5" t="str">
        <f>VLOOKUP(A32,'פרויקטים ב-status advanced שנבד'!$A:$A,1,0)</f>
        <v>מתחם_א_מתחם_74482_מגרש_100_אשקלון</v>
      </c>
    </row>
    <row r="33">
      <c r="A33" s="2" t="s">
        <v>45</v>
      </c>
      <c r="B33" s="5" t="str">
        <f>VLOOKUP(A33,'פרויקטים ב-status advanced שנבד'!$A:$A,1,0)</f>
        <v>מתחם_ג_מתחם_74484_מגרש_107_אשקלון</v>
      </c>
    </row>
    <row r="34">
      <c r="A34" s="2" t="s">
        <v>29</v>
      </c>
      <c r="B34" s="5" t="str">
        <f>VLOOKUP(A34,'פרויקטים ב-status advanced שנבד'!$A:$A,1,0)</f>
        <v>מתחם_יג_מתחם_74494_מגרש_120_אשקלון</v>
      </c>
    </row>
    <row r="35">
      <c r="A35" s="2" t="s">
        <v>149</v>
      </c>
      <c r="B35" s="5" t="str">
        <f>VLOOKUP(A35,'פרויקטים ב-status advanced שנבד'!$A:$A,1,0)</f>
        <v>#N/A</v>
      </c>
    </row>
    <row r="36">
      <c r="A36" s="2" t="s">
        <v>150</v>
      </c>
      <c r="B36" s="5" t="str">
        <f>VLOOKUP(A36,'פרויקטים ב-status advanced שנבד'!$A:$A,1,0)</f>
        <v>#N/A</v>
      </c>
    </row>
    <row r="37">
      <c r="A37" s="2" t="s">
        <v>154</v>
      </c>
      <c r="B37" s="5" t="str">
        <f>VLOOKUP(A37,'פרויקטים ב-status advanced שנבד'!$A:$A,1,0)</f>
        <v>#N/A</v>
      </c>
    </row>
    <row r="38">
      <c r="A38" s="2" t="s">
        <v>158</v>
      </c>
      <c r="B38" s="5" t="str">
        <f>VLOOKUP(A38,'פרויקטים ב-status advanced שנבד'!$A:$A,1,0)</f>
        <v>#N/A</v>
      </c>
    </row>
    <row r="39">
      <c r="A39" s="2" t="s">
        <v>161</v>
      </c>
      <c r="B39" s="5" t="str">
        <f>VLOOKUP(A39,'פרויקטים ב-status advanced שנבד'!$A:$A,1,0)</f>
        <v>#N/A</v>
      </c>
    </row>
    <row r="40">
      <c r="A40" s="2" t="s">
        <v>24</v>
      </c>
      <c r="B40" s="5" t="str">
        <f>VLOOKUP(A40,'פרויקטים ב-status advanced שנבד'!$A:$A,1,0)</f>
        <v>הרב_בוזגלו_דוד_26_אשקלון</v>
      </c>
    </row>
    <row r="41">
      <c r="A41" s="2" t="s">
        <v>165</v>
      </c>
      <c r="B41" s="5" t="str">
        <f>VLOOKUP(A41,'פרויקטים ב-status advanced שנבד'!$A:$A,1,0)</f>
        <v>#N/A</v>
      </c>
    </row>
    <row r="42">
      <c r="A42" s="2" t="s">
        <v>171</v>
      </c>
      <c r="B42" s="5" t="str">
        <f>VLOOKUP(A42,'פרויקטים ב-status advanced שנבד'!$A:$A,1,0)</f>
        <v>#N/A</v>
      </c>
    </row>
    <row r="43">
      <c r="A43" s="2" t="s">
        <v>23</v>
      </c>
      <c r="B43" s="5" t="str">
        <f>VLOOKUP(A43,'פרויקטים ב-status advanced שנבד'!$A:$A,1,0)</f>
        <v>הרב_בוזגלו_דוד_69_אשקלון</v>
      </c>
    </row>
    <row r="44">
      <c r="A44" s="2" t="s">
        <v>173</v>
      </c>
      <c r="B44" s="5" t="str">
        <f>VLOOKUP(A44,'פרויקטים ב-status advanced שנבד'!$A:$A,1,0)</f>
        <v>#N/A</v>
      </c>
    </row>
    <row r="45">
      <c r="A45" s="2" t="s">
        <v>176</v>
      </c>
      <c r="B45" s="5" t="str">
        <f>VLOOKUP(A45,'פרויקטים ב-status advanced שנבד'!$A:$A,1,0)</f>
        <v>#N/A</v>
      </c>
    </row>
    <row r="46">
      <c r="A46" s="2" t="s">
        <v>179</v>
      </c>
      <c r="B46" s="5" t="str">
        <f>VLOOKUP(A46,'פרויקטים ב-status advanced שנבד'!$A:$A,1,0)</f>
        <v>#N/A</v>
      </c>
    </row>
    <row r="47">
      <c r="A47" s="2" t="s">
        <v>50</v>
      </c>
      <c r="B47" s="5" t="str">
        <f>VLOOKUP(A47,'פרויקטים ב-status advanced שנבד'!$A:$A,1,0)</f>
        <v>מגרש_200_201_אבן_עזרא_אשקלון</v>
      </c>
    </row>
    <row r="48">
      <c r="A48" s="2" t="s">
        <v>184</v>
      </c>
      <c r="B48" s="5" t="str">
        <f>VLOOKUP(A48,'פרויקטים ב-status advanced שנבד'!$A:$A,1,0)</f>
        <v>#N/A</v>
      </c>
    </row>
    <row r="49">
      <c r="A49" s="2" t="s">
        <v>189</v>
      </c>
      <c r="B49" s="5" t="str">
        <f>VLOOKUP(A49,'פרויקטים ב-status advanced שנבד'!$A:$A,1,0)</f>
        <v>#N/A</v>
      </c>
    </row>
    <row r="50">
      <c r="A50" s="2" t="s">
        <v>190</v>
      </c>
      <c r="B50" s="5" t="str">
        <f>VLOOKUP(A50,'פרויקטים ב-status advanced שנבד'!$A:$A,1,0)</f>
        <v>#N/A</v>
      </c>
    </row>
    <row r="51">
      <c r="A51" s="2" t="s">
        <v>193</v>
      </c>
      <c r="B51" s="5" t="str">
        <f>VLOOKUP(A51,'פרויקטים ב-status advanced שנבד'!$A:$A,1,0)</f>
        <v>#N/A</v>
      </c>
    </row>
    <row r="52">
      <c r="A52" s="2" t="s">
        <v>43</v>
      </c>
      <c r="B52" s="5" t="str">
        <f>VLOOKUP(A52,'פרויקטים ב-status advanced שנבד'!$A:$A,1,0)</f>
        <v>מגרש_138_בעיר_היין_אשקלון</v>
      </c>
    </row>
    <row r="53">
      <c r="A53" s="2" t="s">
        <v>199</v>
      </c>
      <c r="B53" s="5" t="str">
        <f>VLOOKUP(A53,'פרויקטים ב-status advanced שנבד'!$A:$A,1,0)</f>
        <v>#N/A</v>
      </c>
    </row>
    <row r="54">
      <c r="A54" s="2" t="s">
        <v>201</v>
      </c>
      <c r="B54" s="5" t="str">
        <f>VLOOKUP(A54,'פרויקטים ב-status advanced שנבד'!$A:$A,1,0)</f>
        <v>#N/A</v>
      </c>
    </row>
    <row r="55">
      <c r="A55" s="2" t="s">
        <v>35</v>
      </c>
      <c r="B55" s="5" t="str">
        <f>VLOOKUP(A55,'פרויקטים ב-status advanced שנבד'!$A:$A,1,0)</f>
        <v>משה_דיין_9_אשקלון</v>
      </c>
    </row>
    <row r="56">
      <c r="A56" s="2" t="s">
        <v>203</v>
      </c>
      <c r="B56" s="5" t="str">
        <f>VLOOKUP(A56,'פרויקטים ב-status advanced שנבד'!$A:$A,1,0)</f>
        <v>#N/A</v>
      </c>
    </row>
    <row r="57">
      <c r="A57" s="2" t="s">
        <v>27</v>
      </c>
      <c r="B57" s="5" t="str">
        <f>VLOOKUP(A57,'פרויקטים ב-status advanced שנבד'!$A:$A,1,0)</f>
        <v>מגרש_13_בעיר_היין_אשקלון</v>
      </c>
    </row>
  </sheetData>
  <autoFilter ref="$A$1:$B$5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5.75"/>
  </cols>
  <sheetData>
    <row r="1">
      <c r="A1" s="2" t="s">
        <v>1</v>
      </c>
    </row>
    <row r="2">
      <c r="A2" s="3" t="s">
        <v>83</v>
      </c>
    </row>
    <row r="3">
      <c r="A3" s="3" t="s">
        <v>85</v>
      </c>
    </row>
  </sheetData>
  <autoFilter ref="$A$1:$A$1000"/>
  <drawing r:id="rId1"/>
</worksheet>
</file>